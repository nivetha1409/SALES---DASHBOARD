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NIVETHA\"/>
    </mc:Choice>
  </mc:AlternateContent>
  <xr:revisionPtr revIDLastSave="0" documentId="13_ncr:1_{97013414-D9C6-4104-A25A-F6021256FEC6}" xr6:coauthVersionLast="47" xr6:coauthVersionMax="47" xr10:uidLastSave="{00000000-0000-0000-0000-000000000000}"/>
  <bookViews>
    <workbookView xWindow="-120" yWindow="-120" windowWidth="20730" windowHeight="11160" tabRatio="601" activeTab="2" xr2:uid="{30F4A577-797D-4B2A-B4DC-3E835629E66B}"/>
  </bookViews>
  <sheets>
    <sheet name="PIVOT TABLE" sheetId="3" r:id="rId1"/>
    <sheet name="DASHBOARD" sheetId="4" r:id="rId2"/>
    <sheet name="SALES DATA" sheetId="2"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2" l="1"/>
  <c r="L8" i="2"/>
  <c r="L4"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2" i="2"/>
  <c r="L6" i="2" s="1"/>
</calcChain>
</file>

<file path=xl/sharedStrings.xml><?xml version="1.0" encoding="utf-8"?>
<sst xmlns="http://schemas.openxmlformats.org/spreadsheetml/2006/main" count="203" uniqueCount="37">
  <si>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</si>
  <si>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</si>
  <si>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</si>
  <si>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</si>
  <si>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</si>
  <si>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</si>
  <si>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</si>
  <si>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</si>
  <si>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</si>
  <si>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</si>
  <si>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</si>
  <si>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</si>
  <si>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</si>
  <si>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</si>
  <si>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</si>
  <si>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</si>
  <si>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</si>
  <si>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</si>
  <si>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</si>
  <si>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</si>
  <si>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</si>
  <si>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Date</t>
  </si>
  <si>
    <t>Sales Person</t>
  </si>
  <si>
    <t>Region</t>
  </si>
  <si>
    <t>Product</t>
  </si>
  <si>
    <t>Units Sold</t>
  </si>
  <si>
    <t>Unit Price</t>
  </si>
  <si>
    <t>Cost of Goods</t>
  </si>
  <si>
    <t>Total Sales</t>
  </si>
  <si>
    <t>Profit</t>
  </si>
  <si>
    <t>Grand Total</t>
  </si>
  <si>
    <t>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</si>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</sst>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449]\ * #,##0_ ;_ [$₹-449]\ * \-#,##0_ ;_ [$₹-449]\ * &quot;-&quot;??_ ;_ @_ "/>
    <numFmt numFmtId="165" formatCode="_(* #,##0_);_(* \(#,##0\);_(* &quot;-&quot;??_);_(@_)"/>
  </numFmts>
  <fonts count="5" x14ac:knownFonts="1">
    <font>
      <sz val="11"/>
      <color theme="1"/>
      <name val="Aptos Narrow"/>
      <family val="2"/>
      <scheme val="minor"/>
    </font>
    <font>
      <b/>
      <sz val="11"/>
      <color theme="0"/>
      <name val="Aptos Narrow"/>
      <family val="2"/>
      <scheme val="minor"/>
    </font>
    <font>
      <sz val="11"/>
      <color theme="0"/>
      <name val="Aptos Narrow"/>
      <family val="2"/>
      <scheme val="minor"/>
    </font>
    <font>
      <b/>
      <sz val="11"/>
      <color rgb="FFFFFFFF"/>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1" tint="0.3499862666707357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4" fillId="0" borderId="0" applyFont="0" applyFill="0" applyBorder="0" applyAlignment="0" applyProtection="0"/>
  </cellStyleXfs>
  <cellXfs count="20">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3" fillId="2" borderId="0" xfId="0" applyFont="1" applyFill="1" applyAlignment="1">
      <alignment horizontal="center" vertical="center" wrapText="1"/>
    </xf>
    <xf numFmtId="0" fontId="2" fillId="2" borderId="0" xfId="0" applyFont="1" applyFill="1" applyAlignment="1">
      <alignment horizontal="center" vertical="center"/>
    </xf>
    <xf numFmtId="0" fontId="1" fillId="2" borderId="0" xfId="0" applyFont="1" applyFill="1" applyAlignment="1">
      <alignment horizontal="center" vertical="center"/>
    </xf>
    <xf numFmtId="164" fontId="0" fillId="0" borderId="0" xfId="0" applyNumberFormat="1"/>
    <xf numFmtId="0" fontId="3" fillId="2" borderId="2" xfId="0" applyFont="1" applyFill="1" applyBorder="1" applyAlignment="1">
      <alignment horizontal="center" vertical="center" wrapText="1"/>
    </xf>
    <xf numFmtId="14" fontId="0" fillId="0" borderId="2" xfId="0" applyNumberFormat="1" applyBorder="1" applyAlignment="1">
      <alignment horizontal="center" vertical="center" wrapText="1"/>
    </xf>
    <xf numFmtId="0" fontId="3" fillId="2" borderId="3" xfId="0" applyFont="1" applyFill="1" applyBorder="1" applyAlignment="1">
      <alignment horizontal="center" vertical="center" wrapText="1"/>
    </xf>
    <xf numFmtId="164" fontId="0" fillId="0" borderId="4" xfId="0" applyNumberFormat="1" applyBorder="1"/>
    <xf numFmtId="14" fontId="0" fillId="0" borderId="5" xfId="0" applyNumberFormat="1" applyBorder="1" applyAlignment="1">
      <alignment horizontal="center" vertical="center" wrapText="1"/>
    </xf>
    <xf numFmtId="0" fontId="0" fillId="0" borderId="6" xfId="0" applyBorder="1" applyAlignment="1">
      <alignment horizontal="center" vertical="center" wrapText="1"/>
    </xf>
    <xf numFmtId="164" fontId="0" fillId="0" borderId="6" xfId="0" applyNumberFormat="1" applyBorder="1" applyAlignment="1">
      <alignment horizontal="center" vertical="center" wrapText="1"/>
    </xf>
    <xf numFmtId="164" fontId="0" fillId="0" borderId="7" xfId="0" applyNumberFormat="1" applyBorder="1"/>
    <xf numFmtId="0" fontId="0" fillId="0" borderId="0" xfId="0" pivotButton="1"/>
    <xf numFmtId="0" fontId="0" fillId="0" borderId="0" xfId="0" applyAlignment="1">
      <alignment horizontal="left"/>
    </xf>
    <xf numFmtId="165" fontId="0" fillId="0" borderId="0" xfId="1" applyNumberFormat="1" applyFont="1" applyAlignment="1">
      <alignment vertical="center"/>
    </xf>
    <xf numFmtId="0" fontId="0" fillId="0" borderId="0" xfId="0" applyNumberFormat="1"/>
  </cellXfs>
  <cellStyles count="2">
    <cellStyle name="Comma" xfId="1" builtinId="3"/>
    <cellStyle name="Normal" xfId="0" builtinId="0"/>
  </cellStyles>
  <dxfs count="12">
    <dxf>
      <numFmt numFmtId="164" formatCode="_ [$₹-449]\ * #,##0_ ;_ [$₹-449]\ * \-#,##0_ ;_ [$₹-449]\ * &quot;-&quot;??_ ;_ @_ "/>
      <border diagonalUp="0" diagonalDown="0">
        <left style="thin">
          <color indexed="64"/>
        </left>
        <right/>
        <top style="thin">
          <color indexed="64"/>
        </top>
        <bottom style="thin">
          <color indexed="64"/>
        </bottom>
        <vertical/>
        <horizontal/>
      </border>
    </dxf>
    <dxf>
      <numFmt numFmtId="164" formatCode="_ [$₹-449]\ * #,##0_ ;_ [$₹-449]\ * \-#,##0_ ;_ [$₹-449]\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49]\ * #,##0_ ;_ [$₹-449]\ * \-#,##0_ ;_ [$₹-449]\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49]\ * #,##0_ ;_ [$₹-449]\ * \-#,##0_ ;_ [$₹-449]\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1"/>
        <color rgb="FFFFFFFF"/>
        <name val="Aptos Narrow"/>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72222222222222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777777777777778"/>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94444444444444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13888888888888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B74-4816-9AEC-81F1E9EF63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B74-4816-9AEC-81F1E9EF63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74-4816-9AEC-81F1E9EF63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2B74-4816-9AEC-81F1E9EF6346}"/>
              </c:ext>
            </c:extLst>
          </c:dPt>
          <c:dLbls>
            <c:dLbl>
              <c:idx val="0"/>
              <c:layout>
                <c:manualLayout>
                  <c:x val="0.17777777777777778"/>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74-4816-9AEC-81F1E9EF6346}"/>
                </c:ext>
              </c:extLst>
            </c:dLbl>
            <c:dLbl>
              <c:idx val="1"/>
              <c:layout>
                <c:manualLayout>
                  <c:x val="0.1972222222222222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74-4816-9AEC-81F1E9EF6346}"/>
                </c:ext>
              </c:extLst>
            </c:dLbl>
            <c:dLbl>
              <c:idx val="2"/>
              <c:layout>
                <c:manualLayout>
                  <c:x val="-0.2138888888888889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74-4816-9AEC-81F1E9EF6346}"/>
                </c:ext>
              </c:extLst>
            </c:dLbl>
            <c:dLbl>
              <c:idx val="3"/>
              <c:layout>
                <c:manualLayout>
                  <c:x val="-0.16944444444444445"/>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74-4816-9AEC-81F1E9EF63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_ [$₹-449]\ * #,##0_ ;_ [$₹-449]\ * \-#,##0_ ;_ [$₹-449]\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2B74-4816-9AEC-81F1E9EF634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_ [$₹-449]\ * #,##0_ ;_ [$₹-449]\ * \-#,##0_ ;_ [$₹-449]\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BA77-431C-A1F2-3C65F4A70B17}"/>
            </c:ext>
          </c:extLst>
        </c:ser>
        <c:dLbls>
          <c:showLegendKey val="0"/>
          <c:showVal val="0"/>
          <c:showCatName val="0"/>
          <c:showSerName val="0"/>
          <c:showPercent val="0"/>
          <c:showBubbleSize val="0"/>
        </c:dLbls>
        <c:gapWidth val="78"/>
        <c:axId val="662785224"/>
        <c:axId val="662784144"/>
      </c:barChart>
      <c:catAx>
        <c:axId val="662785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84144"/>
        <c:crosses val="autoZero"/>
        <c:auto val="1"/>
        <c:lblAlgn val="ctr"/>
        <c:lblOffset val="100"/>
        <c:noMultiLvlLbl val="0"/>
      </c:catAx>
      <c:valAx>
        <c:axId val="662784144"/>
        <c:scaling>
          <c:orientation val="minMax"/>
        </c:scaling>
        <c:delete val="1"/>
        <c:axPos val="b"/>
        <c:numFmt formatCode="_ [$₹-449]\ * #,##0_ ;_ [$₹-449]\ * \-#,##0_ ;_ [$₹-449]\ * &quot;-&quot;??_ ;_ @_ " sourceLinked="1"/>
        <c:majorTickMark val="none"/>
        <c:minorTickMark val="none"/>
        <c:tickLblPos val="nextTo"/>
        <c:crossAx val="662785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175707203266259"/>
          <c:w val="0.93888888888888888"/>
          <c:h val="0.65890128317293672"/>
        </c:manualLayout>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_ [$₹-449]\ * #,##0_ ;_ [$₹-449]\ * \-#,##0_ ;_ [$₹-449]\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FB13-4C4F-B4C7-2FCAF813D293}"/>
            </c:ext>
          </c:extLst>
        </c:ser>
        <c:dLbls>
          <c:dLblPos val="outEnd"/>
          <c:showLegendKey val="0"/>
          <c:showVal val="1"/>
          <c:showCatName val="0"/>
          <c:showSerName val="0"/>
          <c:showPercent val="0"/>
          <c:showBubbleSize val="0"/>
        </c:dLbls>
        <c:gapWidth val="76"/>
        <c:overlap val="-27"/>
        <c:axId val="515203280"/>
        <c:axId val="515195720"/>
      </c:barChart>
      <c:catAx>
        <c:axId val="51520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5720"/>
        <c:crosses val="autoZero"/>
        <c:auto val="1"/>
        <c:lblAlgn val="ctr"/>
        <c:lblOffset val="100"/>
        <c:noMultiLvlLbl val="0"/>
      </c:catAx>
      <c:valAx>
        <c:axId val="515195720"/>
        <c:scaling>
          <c:orientation val="minMax"/>
        </c:scaling>
        <c:delete val="1"/>
        <c:axPos val="l"/>
        <c:numFmt formatCode="_ [$₹-449]\ * #,##0_ ;_ [$₹-449]\ * \-#,##0_ ;_ [$₹-449]\ * &quot;-&quot;??_ ;_ @_ " sourceLinked="1"/>
        <c:majorTickMark val="none"/>
        <c:minorTickMark val="none"/>
        <c:tickLblPos val="nextTo"/>
        <c:crossAx val="51520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8"/>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square"/>
          <c:size val="8"/>
          <c:spPr>
            <a:noFill/>
            <a:ln w="22225">
              <a:solidFill>
                <a:srgbClr val="0070C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rgbClr val="0070C0"/>
            </a:solidFill>
            <a:round/>
          </a:ln>
          <a:effectLst>
            <a:outerShdw dist="25400" dir="2700000" algn="tl" rotWithShape="0">
              <a:schemeClr val="accent1"/>
            </a:outerShdw>
          </a:effectLst>
        </c:spPr>
        <c:marker>
          <c:symbol val="square"/>
          <c:size val="8"/>
          <c:spPr>
            <a:noFill/>
            <a:ln w="22225">
              <a:solidFill>
                <a:srgbClr val="0070C0"/>
              </a:solidFill>
              <a:round/>
            </a:ln>
            <a:effectLst/>
          </c:spPr>
        </c:marker>
      </c:pivotFmt>
    </c:pivotFmts>
    <c:plotArea>
      <c:layout>
        <c:manualLayout>
          <c:layoutTarget val="inner"/>
          <c:xMode val="edge"/>
          <c:yMode val="edge"/>
          <c:x val="7.6498880579966178E-2"/>
          <c:y val="0.10546093713097292"/>
          <c:w val="0.88124014478847768"/>
          <c:h val="0.73347715441136163"/>
        </c:manualLayout>
      </c:layout>
      <c:lineChart>
        <c:grouping val="standard"/>
        <c:varyColors val="0"/>
        <c:ser>
          <c:idx val="0"/>
          <c:order val="0"/>
          <c:tx>
            <c:strRef>
              <c:f>'PIVOT TABLE'!$K$3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square"/>
            <c:size val="8"/>
            <c:spPr>
              <a:noFill/>
              <a:ln w="22225">
                <a:solidFill>
                  <a:srgbClr val="0070C0"/>
                </a:solidFill>
                <a:round/>
              </a:ln>
              <a:effectLst/>
            </c:spPr>
          </c:marker>
          <c:dPt>
            <c:idx val="5"/>
            <c:marker>
              <c:symbol val="square"/>
              <c:size val="8"/>
              <c:spPr>
                <a:noFill/>
                <a:ln w="22225">
                  <a:solidFill>
                    <a:srgbClr val="0070C0"/>
                  </a:solidFill>
                  <a:round/>
                </a:ln>
                <a:effectLst/>
              </c:spPr>
            </c:marker>
            <c:bubble3D val="0"/>
            <c:spPr>
              <a:ln w="34925" cap="rnd">
                <a:solidFill>
                  <a:srgbClr val="0070C0"/>
                </a:solidFill>
                <a:round/>
              </a:ln>
              <a:effectLst>
                <a:outerShdw dist="25400" dir="2700000" algn="tl" rotWithShape="0">
                  <a:schemeClr val="accent1"/>
                </a:outerShdw>
              </a:effectLst>
            </c:spPr>
            <c:extLst>
              <c:ext xmlns:c16="http://schemas.microsoft.com/office/drawing/2014/chart" uri="{C3380CC4-5D6E-409C-BE32-E72D297353CC}">
                <c16:uniqueId val="{00000003-CD3D-42AC-996B-CB412AE1CD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TABLE'!$J$4:$J$11</c:f>
              <c:strCache>
                <c:ptCount val="7"/>
                <c:pt idx="0">
                  <c:v>Action Figure</c:v>
                </c:pt>
                <c:pt idx="1">
                  <c:v>Blender</c:v>
                </c:pt>
                <c:pt idx="2">
                  <c:v>Moisturizer</c:v>
                </c:pt>
                <c:pt idx="3">
                  <c:v>Novel</c:v>
                </c:pt>
                <c:pt idx="4">
                  <c:v>Smartphone</c:v>
                </c:pt>
                <c:pt idx="5">
                  <c:v>Sneakers</c:v>
                </c:pt>
                <c:pt idx="6">
                  <c:v>Tent</c:v>
                </c:pt>
              </c:strCache>
            </c:strRef>
          </c:cat>
          <c:val>
            <c:numRef>
              <c:f>'PIVOT TABLE'!$K$4:$K$11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CD3D-42AC-996B-CB412AE1CDFB}"/>
            </c:ext>
          </c:extLst>
        </c:ser>
        <c:dLbls>
          <c:dLblPos val="t"/>
          <c:showLegendKey val="0"/>
          <c:showVal val="1"/>
          <c:showCatName val="0"/>
          <c:showSerName val="0"/>
          <c:showPercent val="0"/>
          <c:showBubbleSize val="0"/>
        </c:dLbls>
        <c:dropLines>
          <c:spPr>
            <a:ln w="19050" cap="flat" cmpd="sng" algn="ctr">
              <a:solidFill>
                <a:schemeClr val="accent4"/>
              </a:solidFill>
              <a:prstDash val="solid"/>
              <a:miter lim="800000"/>
            </a:ln>
            <a:effectLst/>
          </c:spPr>
        </c:dropLines>
        <c:marker val="1"/>
        <c:smooth val="0"/>
        <c:axId val="680190368"/>
        <c:axId val="680194688"/>
      </c:lineChart>
      <c:catAx>
        <c:axId val="680190368"/>
        <c:scaling>
          <c:orientation val="minMax"/>
        </c:scaling>
        <c:delete val="0"/>
        <c:axPos val="b"/>
        <c:numFmt formatCode="General" sourceLinked="1"/>
        <c:majorTickMark val="out"/>
        <c:minorTickMark val="none"/>
        <c:tickLblPos val="nextTo"/>
        <c:spPr>
          <a:noFill/>
          <a:ln w="12700" cap="flat" cmpd="sng" algn="ctr">
            <a:solidFill>
              <a:schemeClr val="tx2">
                <a:lumMod val="75000"/>
                <a:lumOff val="25000"/>
              </a:schemeClr>
            </a:solidFill>
            <a:round/>
          </a:ln>
          <a:effectLst>
            <a:outerShdw blurRad="50800" dist="50800" dir="5400000" algn="ctr" rotWithShape="0">
              <a:schemeClr val="bg1">
                <a:lumMod val="95000"/>
              </a:schemeClr>
            </a:outerShdw>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680194688"/>
        <c:crosses val="autoZero"/>
        <c:auto val="1"/>
        <c:lblAlgn val="ctr"/>
        <c:lblOffset val="100"/>
        <c:noMultiLvlLbl val="0"/>
      </c:catAx>
      <c:valAx>
        <c:axId val="680194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0190368"/>
        <c:crosses val="autoZero"/>
        <c:crossBetween val="between"/>
      </c:valAx>
      <c:spPr>
        <a:solidFill>
          <a:schemeClr val="lt1"/>
        </a:solidFill>
        <a:ln w="19050" cap="flat" cmpd="sng" algn="ctr">
          <a:solidFill>
            <a:schemeClr val="accent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lt1"/>
        </a:gs>
        <a:gs pos="100000">
          <a:schemeClr val="lt1">
            <a:alpha val="0"/>
          </a:schemeClr>
        </a:gs>
      </a:gsLst>
      <a:lin ang="6600000" scaled="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4"/>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square"/>
          <c:size val="8"/>
          <c:spPr>
            <a:noFill/>
            <a:ln w="22225">
              <a:solidFill>
                <a:srgbClr val="0070C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rgbClr val="0070C0"/>
            </a:solidFill>
            <a:round/>
          </a:ln>
          <a:effectLst>
            <a:outerShdw dist="25400" dir="2700000" algn="tl" rotWithShape="0">
              <a:schemeClr val="accent1"/>
            </a:outerShdw>
          </a:effectLst>
        </c:spPr>
        <c:marker>
          <c:symbol val="square"/>
          <c:size val="8"/>
          <c:spPr>
            <a:noFill/>
            <a:ln w="22225">
              <a:solidFill>
                <a:srgbClr val="0070C0"/>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square"/>
          <c:size val="8"/>
          <c:spPr>
            <a:noFill/>
            <a:ln w="22225">
              <a:solidFill>
                <a:srgbClr val="0070C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rgbClr val="0070C0"/>
            </a:solidFill>
            <a:round/>
          </a:ln>
          <a:effectLst>
            <a:outerShdw dist="25400" dir="2700000" algn="tl" rotWithShape="0">
              <a:schemeClr val="accent1"/>
            </a:outerShdw>
          </a:effectLst>
        </c:spPr>
        <c:marker>
          <c:symbol val="square"/>
          <c:size val="8"/>
          <c:spPr>
            <a:noFill/>
            <a:ln w="22225">
              <a:solidFill>
                <a:srgbClr val="0070C0"/>
              </a:solidFill>
              <a:round/>
            </a:ln>
            <a:effectLst/>
          </c:spPr>
        </c:marker>
      </c:pivotFmt>
      <c:pivotFmt>
        <c:idx val="4"/>
        <c:spPr>
          <a:ln w="34925" cap="rnd">
            <a:solidFill>
              <a:schemeClr val="lt1"/>
            </a:solidFill>
            <a:round/>
          </a:ln>
          <a:effectLst>
            <a:outerShdw dist="25400" dir="2700000" algn="tl" rotWithShape="0">
              <a:schemeClr val="accent1"/>
            </a:outerShdw>
          </a:effectLst>
        </c:spPr>
        <c:marker>
          <c:symbol val="square"/>
          <c:size val="8"/>
          <c:spPr>
            <a:noFill/>
            <a:ln w="22225">
              <a:solidFill>
                <a:srgbClr val="0070C0"/>
              </a:solidFill>
              <a:round/>
            </a:ln>
            <a:effectLst/>
          </c:spPr>
        </c:marker>
        <c:dLbl>
          <c:idx val="0"/>
          <c:spPr>
            <a:solidFill>
              <a:schemeClr val="accent4">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0070C0"/>
            </a:solidFill>
            <a:round/>
          </a:ln>
          <a:effectLst>
            <a:outerShdw dist="25400" dir="2700000" algn="tl" rotWithShape="0">
              <a:schemeClr val="accent1"/>
            </a:outerShdw>
          </a:effectLst>
        </c:spPr>
        <c:marker>
          <c:symbol val="square"/>
          <c:size val="8"/>
          <c:spPr>
            <a:noFill/>
            <a:ln w="22225">
              <a:solidFill>
                <a:srgbClr val="0070C0"/>
              </a:solidFill>
              <a:round/>
            </a:ln>
            <a:effectLst/>
          </c:spPr>
        </c:marker>
      </c:pivotFmt>
    </c:pivotFmts>
    <c:plotArea>
      <c:layout>
        <c:manualLayout>
          <c:layoutTarget val="inner"/>
          <c:xMode val="edge"/>
          <c:yMode val="edge"/>
          <c:x val="9.5243841797465076E-2"/>
          <c:y val="9.3556468643471252E-2"/>
          <c:w val="0.88124014478847768"/>
          <c:h val="0.73347715441136163"/>
        </c:manualLayout>
      </c:layout>
      <c:lineChart>
        <c:grouping val="standard"/>
        <c:varyColors val="0"/>
        <c:ser>
          <c:idx val="0"/>
          <c:order val="0"/>
          <c:tx>
            <c:strRef>
              <c:f>'PIVOT TABLE'!$K$3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square"/>
            <c:size val="8"/>
            <c:spPr>
              <a:noFill/>
              <a:ln w="22225">
                <a:solidFill>
                  <a:srgbClr val="0070C0"/>
                </a:solidFill>
                <a:round/>
              </a:ln>
              <a:effectLst/>
            </c:spPr>
          </c:marker>
          <c:dPt>
            <c:idx val="5"/>
            <c:marker>
              <c:symbol val="square"/>
              <c:size val="8"/>
              <c:spPr>
                <a:noFill/>
                <a:ln w="22225">
                  <a:solidFill>
                    <a:srgbClr val="0070C0"/>
                  </a:solidFill>
                  <a:round/>
                </a:ln>
                <a:effectLst/>
              </c:spPr>
            </c:marker>
            <c:bubble3D val="0"/>
            <c:spPr>
              <a:ln w="34925" cap="rnd">
                <a:solidFill>
                  <a:srgbClr val="0070C0"/>
                </a:solidFill>
                <a:round/>
              </a:ln>
              <a:effectLst>
                <a:outerShdw dist="25400" dir="2700000" algn="tl" rotWithShape="0">
                  <a:schemeClr val="accent1"/>
                </a:outerShdw>
              </a:effectLst>
            </c:spPr>
            <c:extLst>
              <c:ext xmlns:c16="http://schemas.microsoft.com/office/drawing/2014/chart" uri="{C3380CC4-5D6E-409C-BE32-E72D297353CC}">
                <c16:uniqueId val="{00000001-27A3-42C8-871F-A6E088E7BAD6}"/>
              </c:ext>
            </c:extLst>
          </c:dPt>
          <c:dLbls>
            <c:spPr>
              <a:solidFill>
                <a:schemeClr val="accent4">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TABLE'!$J$4:$J$11</c:f>
              <c:strCache>
                <c:ptCount val="7"/>
                <c:pt idx="0">
                  <c:v>Action Figure</c:v>
                </c:pt>
                <c:pt idx="1">
                  <c:v>Blender</c:v>
                </c:pt>
                <c:pt idx="2">
                  <c:v>Moisturizer</c:v>
                </c:pt>
                <c:pt idx="3">
                  <c:v>Novel</c:v>
                </c:pt>
                <c:pt idx="4">
                  <c:v>Smartphone</c:v>
                </c:pt>
                <c:pt idx="5">
                  <c:v>Sneakers</c:v>
                </c:pt>
                <c:pt idx="6">
                  <c:v>Tent</c:v>
                </c:pt>
              </c:strCache>
            </c:strRef>
          </c:cat>
          <c:val>
            <c:numRef>
              <c:f>'PIVOT TABLE'!$K$4:$K$11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2-27A3-42C8-871F-A6E088E7BAD6}"/>
            </c:ext>
          </c:extLst>
        </c:ser>
        <c:dLbls>
          <c:dLblPos val="t"/>
          <c:showLegendKey val="0"/>
          <c:showVal val="1"/>
          <c:showCatName val="0"/>
          <c:showSerName val="0"/>
          <c:showPercent val="0"/>
          <c:showBubbleSize val="0"/>
        </c:dLbls>
        <c:dropLines>
          <c:spPr>
            <a:ln w="19050" cap="flat" cmpd="sng" algn="ctr">
              <a:solidFill>
                <a:schemeClr val="accent4"/>
              </a:solidFill>
              <a:prstDash val="solid"/>
              <a:miter lim="800000"/>
            </a:ln>
            <a:effectLst/>
          </c:spPr>
        </c:dropLines>
        <c:marker val="1"/>
        <c:smooth val="0"/>
        <c:axId val="680190368"/>
        <c:axId val="680194688"/>
      </c:lineChart>
      <c:catAx>
        <c:axId val="680190368"/>
        <c:scaling>
          <c:orientation val="minMax"/>
        </c:scaling>
        <c:delete val="0"/>
        <c:axPos val="b"/>
        <c:numFmt formatCode="General" sourceLinked="1"/>
        <c:majorTickMark val="out"/>
        <c:minorTickMark val="none"/>
        <c:tickLblPos val="nextTo"/>
        <c:spPr>
          <a:noFill/>
          <a:ln w="12700" cap="flat" cmpd="sng" algn="ctr">
            <a:noFill/>
            <a:round/>
          </a:ln>
          <a:effectLst>
            <a:outerShdw blurRad="50800" dist="50800" dir="5400000" algn="ctr" rotWithShape="0">
              <a:schemeClr val="bg1">
                <a:lumMod val="95000"/>
              </a:schemeClr>
            </a:outerShdw>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680194688"/>
        <c:crosses val="autoZero"/>
        <c:auto val="1"/>
        <c:lblAlgn val="ctr"/>
        <c:lblOffset val="100"/>
        <c:noMultiLvlLbl val="0"/>
      </c:catAx>
      <c:valAx>
        <c:axId val="680194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0190368"/>
        <c:crosses val="autoZero"/>
        <c:crossBetween val="between"/>
      </c:valAx>
      <c:spPr>
        <a:noFill/>
        <a:ln w="1905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72222222222222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777777777777778"/>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94444444444444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13888888888888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777777777777778"/>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72222222222222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13888888888888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94444444444444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777777777777778"/>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972222222222222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13888888888888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94444444444444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F0-4D65-B708-3078C7806C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F0-4D65-B708-3078C7806C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F0-4D65-B708-3078C7806C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F0-4D65-B708-3078C7806CCC}"/>
              </c:ext>
            </c:extLst>
          </c:dPt>
          <c:dLbls>
            <c:dLbl>
              <c:idx val="0"/>
              <c:layout>
                <c:manualLayout>
                  <c:x val="0.17777777777777778"/>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F0-4D65-B708-3078C7806CCC}"/>
                </c:ext>
              </c:extLst>
            </c:dLbl>
            <c:dLbl>
              <c:idx val="1"/>
              <c:layout>
                <c:manualLayout>
                  <c:x val="0.1972222222222222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F0-4D65-B708-3078C7806CCC}"/>
                </c:ext>
              </c:extLst>
            </c:dLbl>
            <c:dLbl>
              <c:idx val="2"/>
              <c:layout>
                <c:manualLayout>
                  <c:x val="-0.2138888888888889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F0-4D65-B708-3078C7806CCC}"/>
                </c:ext>
              </c:extLst>
            </c:dLbl>
            <c:dLbl>
              <c:idx val="3"/>
              <c:layout>
                <c:manualLayout>
                  <c:x val="-0.16944444444444445"/>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6F0-4D65-B708-3078C7806C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_ [$₹-449]\ * #,##0_ ;_ [$₹-449]\ * \-#,##0_ ;_ [$₹-449]\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76F0-4D65-B708-3078C7806CC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4579609242235"/>
          <c:y val="4.4657095045418378E-2"/>
          <c:w val="0.81296094204684977"/>
          <c:h val="0.95406821773834793"/>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_ [$₹-449]\ * #,##0_ ;_ [$₹-449]\ * \-#,##0_ ;_ [$₹-449]\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BDA9-4241-80A3-DBFB76DDCC2F}"/>
            </c:ext>
          </c:extLst>
        </c:ser>
        <c:dLbls>
          <c:showLegendKey val="0"/>
          <c:showVal val="0"/>
          <c:showCatName val="0"/>
          <c:showSerName val="0"/>
          <c:showPercent val="0"/>
          <c:showBubbleSize val="0"/>
        </c:dLbls>
        <c:gapWidth val="78"/>
        <c:axId val="662785224"/>
        <c:axId val="662784144"/>
      </c:barChart>
      <c:catAx>
        <c:axId val="6627852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84144"/>
        <c:crosses val="autoZero"/>
        <c:auto val="1"/>
        <c:lblAlgn val="ctr"/>
        <c:lblOffset val="100"/>
        <c:noMultiLvlLbl val="0"/>
      </c:catAx>
      <c:valAx>
        <c:axId val="662784144"/>
        <c:scaling>
          <c:orientation val="minMax"/>
        </c:scaling>
        <c:delete val="1"/>
        <c:axPos val="b"/>
        <c:numFmt formatCode="_ [$₹-449]\ * #,##0_ ;_ [$₹-449]\ * \-#,##0_ ;_ [$₹-449]\ * &quot;-&quot;??_ ;_ @_ " sourceLinked="1"/>
        <c:majorTickMark val="none"/>
        <c:minorTickMark val="none"/>
        <c:tickLblPos val="nextTo"/>
        <c:crossAx val="662785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81458713983471E-2"/>
          <c:y val="0.16101633129192183"/>
          <c:w val="0.93888888888888888"/>
          <c:h val="0.65890128317293672"/>
        </c:manualLayout>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_ [$₹-449]\ * #,##0_ ;_ [$₹-449]\ * \-#,##0_ ;_ [$₹-449]\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606F-4B33-8963-DCD1906B4E8E}"/>
            </c:ext>
          </c:extLst>
        </c:ser>
        <c:dLbls>
          <c:dLblPos val="outEnd"/>
          <c:showLegendKey val="0"/>
          <c:showVal val="1"/>
          <c:showCatName val="0"/>
          <c:showSerName val="0"/>
          <c:showPercent val="0"/>
          <c:showBubbleSize val="0"/>
        </c:dLbls>
        <c:gapWidth val="76"/>
        <c:overlap val="-27"/>
        <c:axId val="515203280"/>
        <c:axId val="515195720"/>
      </c:barChart>
      <c:catAx>
        <c:axId val="5152032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5720"/>
        <c:crosses val="autoZero"/>
        <c:auto val="1"/>
        <c:lblAlgn val="ctr"/>
        <c:lblOffset val="100"/>
        <c:noMultiLvlLbl val="0"/>
      </c:catAx>
      <c:valAx>
        <c:axId val="515195720"/>
        <c:scaling>
          <c:orientation val="minMax"/>
        </c:scaling>
        <c:delete val="1"/>
        <c:axPos val="l"/>
        <c:numFmt formatCode="_ [$₹-449]\ * #,##0_ ;_ [$₹-449]\ * \-#,##0_ ;_ [$₹-449]\ * &quot;-&quot;??_ ;_ @_ " sourceLinked="1"/>
        <c:majorTickMark val="none"/>
        <c:minorTickMark val="none"/>
        <c:tickLblPos val="nextTo"/>
        <c:crossAx val="51520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147637</xdr:rowOff>
    </xdr:from>
    <xdr:to>
      <xdr:col>4</xdr:col>
      <xdr:colOff>990600</xdr:colOff>
      <xdr:row>32</xdr:row>
      <xdr:rowOff>33337</xdr:rowOff>
    </xdr:to>
    <xdr:graphicFrame macro="">
      <xdr:nvGraphicFramePr>
        <xdr:cNvPr id="2" name="Chart 1">
          <a:extLst>
            <a:ext uri="{FF2B5EF4-FFF2-40B4-BE49-F238E27FC236}">
              <a16:creationId xmlns:a16="http://schemas.microsoft.com/office/drawing/2014/main" id="{70187E6E-FF77-A7E1-0357-4E1BF30DC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1057275</xdr:colOff>
      <xdr:row>17</xdr:row>
      <xdr:rowOff>157162</xdr:rowOff>
    </xdr:from>
    <xdr:to>
      <xdr:col>10</xdr:col>
      <xdr:colOff>857251</xdr:colOff>
      <xdr:row>32</xdr:row>
      <xdr:rowOff>42862</xdr:rowOff>
    </xdr:to>
    <xdr:graphicFrame macro="">
      <xdr:nvGraphicFramePr>
        <xdr:cNvPr id="4" name="Chart 3">
          <a:extLst>
            <a:ext uri="{FF2B5EF4-FFF2-40B4-BE49-F238E27FC236}">
              <a16:creationId xmlns:a16="http://schemas.microsoft.com/office/drawing/2014/main" id="{8900C98B-6659-70F1-DEC1-2277C3778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1085850</xdr:colOff>
      <xdr:row>17</xdr:row>
      <xdr:rowOff>166687</xdr:rowOff>
    </xdr:from>
    <xdr:to>
      <xdr:col>18</xdr:col>
      <xdr:colOff>257175</xdr:colOff>
      <xdr:row>32</xdr:row>
      <xdr:rowOff>52387</xdr:rowOff>
    </xdr:to>
    <xdr:graphicFrame macro="">
      <xdr:nvGraphicFramePr>
        <xdr:cNvPr id="5" name="Chart 4">
          <a:extLst>
            <a:ext uri="{FF2B5EF4-FFF2-40B4-BE49-F238E27FC236}">
              <a16:creationId xmlns:a16="http://schemas.microsoft.com/office/drawing/2014/main" id="{7A87D2BD-FCAD-A0B0-B1B9-A571B324C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495299</xdr:colOff>
      <xdr:row>18</xdr:row>
      <xdr:rowOff>23811</xdr:rowOff>
    </xdr:from>
    <xdr:to>
      <xdr:col>26</xdr:col>
      <xdr:colOff>542924</xdr:colOff>
      <xdr:row>33</xdr:row>
      <xdr:rowOff>66674</xdr:rowOff>
    </xdr:to>
    <xdr:graphicFrame macro="">
      <xdr:nvGraphicFramePr>
        <xdr:cNvPr id="3" name="Chart 2">
          <a:extLst>
            <a:ext uri="{FF2B5EF4-FFF2-40B4-BE49-F238E27FC236}">
              <a16:creationId xmlns:a16="http://schemas.microsoft.com/office/drawing/2014/main" id="{FF5EC618-784A-40EF-DD64-C7672508F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266700</xdr:colOff>
      <xdr:row>1</xdr:row>
      <xdr:rowOff>57150</xdr:rowOff>
    </xdr:from>
    <xdr:to>
      <xdr:col>14</xdr:col>
      <xdr:colOff>266700</xdr:colOff>
      <xdr:row>15</xdr:row>
      <xdr:rowOff>57150</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AB9036AC-E7D6-F398-39E8-94AA99BFC9F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0106025" y="247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257174</xdr:colOff>
      <xdr:row>9</xdr:row>
      <xdr:rowOff>47625</xdr:rowOff>
    </xdr:from>
    <xdr:to>
      <xdr:col>1</xdr:col>
      <xdr:colOff>1123949</xdr:colOff>
      <xdr:row>13</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2773AA6-ECCE-7A12-E7C5-91203808A6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7174" y="1762125"/>
              <a:ext cx="1762125" cy="714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1</xdr:row>
      <xdr:rowOff>47625</xdr:rowOff>
    </xdr:from>
    <xdr:to>
      <xdr:col>17</xdr:col>
      <xdr:colOff>438150</xdr:colOff>
      <xdr:row>15</xdr:row>
      <xdr:rowOff>47625</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45787666-3A9E-9826-6A56-8BDE6C3E7A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106275" y="238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200023</xdr:colOff>
      <xdr:row>0</xdr:row>
      <xdr:rowOff>127000</xdr:rowOff>
    </xdr:from>
    <xdr:to>
      <xdr:col>23</xdr:col>
      <xdr:colOff>361950</xdr:colOff>
      <xdr:row>5</xdr:row>
      <xdr:rowOff>149399</xdr:rowOff>
    </xdr:to>
    <xdr:sp macro="" textlink="">
      <xdr:nvSpPr>
        <xdr:cNvPr id="4" name="Rectangle: Rounded Corners 3">
          <a:extLst>
            <a:ext uri="{FF2B5EF4-FFF2-40B4-BE49-F238E27FC236}">
              <a16:creationId xmlns:a16="http://schemas.microsoft.com/office/drawing/2014/main" id="{363C3B67-FCB8-103E-4919-8FF890DE75D4}"/>
            </a:ext>
          </a:extLst>
        </xdr:cNvPr>
        <xdr:cNvSpPr/>
      </xdr:nvSpPr>
      <xdr:spPr>
        <a:xfrm>
          <a:off x="200023" y="127000"/>
          <a:ext cx="14036677" cy="9748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xdr:row>
      <xdr:rowOff>9524</xdr:rowOff>
    </xdr:from>
    <xdr:to>
      <xdr:col>4</xdr:col>
      <xdr:colOff>266700</xdr:colOff>
      <xdr:row>11</xdr:row>
      <xdr:rowOff>76199</xdr:rowOff>
    </xdr:to>
    <xdr:grpSp>
      <xdr:nvGrpSpPr>
        <xdr:cNvPr id="18" name="Group 17">
          <a:extLst>
            <a:ext uri="{FF2B5EF4-FFF2-40B4-BE49-F238E27FC236}">
              <a16:creationId xmlns:a16="http://schemas.microsoft.com/office/drawing/2014/main" id="{605C2A8E-C316-C273-19B3-F5004AC26F39}"/>
            </a:ext>
          </a:extLst>
        </xdr:cNvPr>
        <xdr:cNvGrpSpPr/>
      </xdr:nvGrpSpPr>
      <xdr:grpSpPr>
        <a:xfrm>
          <a:off x="0" y="1152524"/>
          <a:ext cx="2679700" cy="1019175"/>
          <a:chOff x="0" y="1152524"/>
          <a:chExt cx="2762250" cy="1019175"/>
        </a:xfrm>
      </xdr:grpSpPr>
      <xdr:sp macro="" textlink="">
        <xdr:nvSpPr>
          <xdr:cNvPr id="6" name="Rectangle: Rounded Corners 5">
            <a:extLst>
              <a:ext uri="{FF2B5EF4-FFF2-40B4-BE49-F238E27FC236}">
                <a16:creationId xmlns:a16="http://schemas.microsoft.com/office/drawing/2014/main" id="{C3FCCC5C-DC4A-1530-0F5B-C2263B2E9119}"/>
              </a:ext>
            </a:extLst>
          </xdr:cNvPr>
          <xdr:cNvSpPr/>
        </xdr:nvSpPr>
        <xdr:spPr>
          <a:xfrm>
            <a:off x="0" y="1152524"/>
            <a:ext cx="2762250" cy="10191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00700459-38F9-1C32-468B-326DFE0B05C4}"/>
              </a:ext>
            </a:extLst>
          </xdr:cNvPr>
          <xdr:cNvSpPr/>
        </xdr:nvSpPr>
        <xdr:spPr>
          <a:xfrm>
            <a:off x="85725" y="1162050"/>
            <a:ext cx="685800" cy="1000126"/>
          </a:xfrm>
          <a:prstGeom prst="round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TextBox 1">
            <a:extLst>
              <a:ext uri="{FF2B5EF4-FFF2-40B4-BE49-F238E27FC236}">
                <a16:creationId xmlns:a16="http://schemas.microsoft.com/office/drawing/2014/main" id="{8B0DB50C-059A-82E6-3EAE-2C1979207170}"/>
              </a:ext>
            </a:extLst>
          </xdr:cNvPr>
          <xdr:cNvSpPr txBox="1"/>
        </xdr:nvSpPr>
        <xdr:spPr>
          <a:xfrm>
            <a:off x="1000125" y="1333500"/>
            <a:ext cx="13811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4">
                    <a:lumMod val="50000"/>
                  </a:schemeClr>
                </a:solidFill>
              </a:rPr>
              <a:t>TOTAL</a:t>
            </a:r>
            <a:r>
              <a:rPr lang="en-US" sz="1600" b="1" baseline="0">
                <a:solidFill>
                  <a:schemeClr val="accent4">
                    <a:lumMod val="50000"/>
                  </a:schemeClr>
                </a:solidFill>
              </a:rPr>
              <a:t> SALES</a:t>
            </a:r>
            <a:endParaRPr lang="en-US" sz="1600" b="1">
              <a:solidFill>
                <a:schemeClr val="accent4">
                  <a:lumMod val="50000"/>
                </a:schemeClr>
              </a:solidFill>
            </a:endParaRPr>
          </a:p>
        </xdr:txBody>
      </xdr:sp>
      <xdr:sp macro="" textlink="'SALES DATA'!L2">
        <xdr:nvSpPr>
          <xdr:cNvPr id="3" name="TextBox 2">
            <a:extLst>
              <a:ext uri="{FF2B5EF4-FFF2-40B4-BE49-F238E27FC236}">
                <a16:creationId xmlns:a16="http://schemas.microsoft.com/office/drawing/2014/main" id="{FFCB2C48-5CA6-4097-D387-C2E2856F4E14}"/>
              </a:ext>
            </a:extLst>
          </xdr:cNvPr>
          <xdr:cNvSpPr txBox="1"/>
        </xdr:nvSpPr>
        <xdr:spPr>
          <a:xfrm>
            <a:off x="914400" y="1628775"/>
            <a:ext cx="17049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04B4980-9DC1-49B2-BDFB-071D1303DE6A}" type="TxLink">
              <a:rPr lang="en-US" sz="1800" b="1" i="0" u="none" strike="noStrike" cap="none" spc="0">
                <a:ln w="0"/>
                <a:solidFill>
                  <a:schemeClr val="tx2">
                    <a:lumMod val="90000"/>
                    <a:lumOff val="10000"/>
                  </a:schemeClr>
                </a:solidFill>
                <a:effectLst>
                  <a:outerShdw blurRad="38100" dist="25400" dir="5400000" algn="ctr" rotWithShape="0">
                    <a:srgbClr val="6E747A">
                      <a:alpha val="43000"/>
                    </a:srgbClr>
                  </a:outerShdw>
                </a:effectLst>
                <a:latin typeface="Aptos Narrow"/>
              </a:rPr>
              <a:pPr algn="l"/>
              <a:t> ₹ 12,944,500 </a:t>
            </a:fld>
            <a:endParaRPr lang="en-US" sz="1800" b="1" cap="none" spc="0">
              <a:ln w="0"/>
              <a:solidFill>
                <a:schemeClr val="tx2">
                  <a:lumMod val="90000"/>
                  <a:lumOff val="10000"/>
                </a:schemeClr>
              </a:solidFill>
              <a:effectLst>
                <a:outerShdw blurRad="38100" dist="25400" dir="5400000" algn="ctr" rotWithShape="0">
                  <a:srgbClr val="6E747A">
                    <a:alpha val="43000"/>
                  </a:srgbClr>
                </a:outerShdw>
              </a:effectLst>
            </a:endParaRPr>
          </a:p>
        </xdr:txBody>
      </xdr:sp>
    </xdr:grpSp>
    <xdr:clientData/>
  </xdr:twoCellAnchor>
  <xdr:twoCellAnchor>
    <xdr:from>
      <xdr:col>4</xdr:col>
      <xdr:colOff>323850</xdr:colOff>
      <xdr:row>6</xdr:row>
      <xdr:rowOff>38099</xdr:rowOff>
    </xdr:from>
    <xdr:to>
      <xdr:col>9</xdr:col>
      <xdr:colOff>38100</xdr:colOff>
      <xdr:row>11</xdr:row>
      <xdr:rowOff>104774</xdr:rowOff>
    </xdr:to>
    <xdr:grpSp>
      <xdr:nvGrpSpPr>
        <xdr:cNvPr id="19" name="Group 18">
          <a:extLst>
            <a:ext uri="{FF2B5EF4-FFF2-40B4-BE49-F238E27FC236}">
              <a16:creationId xmlns:a16="http://schemas.microsoft.com/office/drawing/2014/main" id="{6475D620-41E7-0C74-D54B-38D6B2152A28}"/>
            </a:ext>
          </a:extLst>
        </xdr:cNvPr>
        <xdr:cNvGrpSpPr/>
      </xdr:nvGrpSpPr>
      <xdr:grpSpPr>
        <a:xfrm>
          <a:off x="2736850" y="1181099"/>
          <a:ext cx="2730500" cy="1019175"/>
          <a:chOff x="0" y="1152524"/>
          <a:chExt cx="2762250" cy="1019175"/>
        </a:xfrm>
      </xdr:grpSpPr>
      <xdr:sp macro="" textlink="">
        <xdr:nvSpPr>
          <xdr:cNvPr id="20" name="Rectangle: Rounded Corners 19">
            <a:extLst>
              <a:ext uri="{FF2B5EF4-FFF2-40B4-BE49-F238E27FC236}">
                <a16:creationId xmlns:a16="http://schemas.microsoft.com/office/drawing/2014/main" id="{BC98BDF1-FFF6-0648-1458-B778B1FE0B4C}"/>
              </a:ext>
            </a:extLst>
          </xdr:cNvPr>
          <xdr:cNvSpPr/>
        </xdr:nvSpPr>
        <xdr:spPr>
          <a:xfrm>
            <a:off x="0" y="1152524"/>
            <a:ext cx="2762250" cy="10191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21B38481-A170-57A9-8279-D4AFDAE853F7}"/>
              </a:ext>
            </a:extLst>
          </xdr:cNvPr>
          <xdr:cNvSpPr/>
        </xdr:nvSpPr>
        <xdr:spPr>
          <a:xfrm>
            <a:off x="85725" y="1162050"/>
            <a:ext cx="685800" cy="1000126"/>
          </a:xfrm>
          <a:prstGeom prst="round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3F16D5EC-B517-B461-45D9-B102E3018141}"/>
              </a:ext>
            </a:extLst>
          </xdr:cNvPr>
          <xdr:cNvSpPr txBox="1"/>
        </xdr:nvSpPr>
        <xdr:spPr>
          <a:xfrm>
            <a:off x="1000125" y="1333500"/>
            <a:ext cx="16287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4">
                    <a:lumMod val="50000"/>
                  </a:schemeClr>
                </a:solidFill>
              </a:rPr>
              <a:t>AVERAGE</a:t>
            </a:r>
            <a:r>
              <a:rPr lang="en-US" sz="1400" b="1" baseline="0">
                <a:solidFill>
                  <a:schemeClr val="accent4">
                    <a:lumMod val="50000"/>
                  </a:schemeClr>
                </a:solidFill>
              </a:rPr>
              <a:t> </a:t>
            </a:r>
            <a:r>
              <a:rPr lang="en-US" sz="1600" b="1" baseline="0">
                <a:solidFill>
                  <a:schemeClr val="accent4">
                    <a:lumMod val="50000"/>
                  </a:schemeClr>
                </a:solidFill>
              </a:rPr>
              <a:t>SALES</a:t>
            </a:r>
            <a:endParaRPr lang="en-US" sz="1600" b="1">
              <a:solidFill>
                <a:schemeClr val="accent4">
                  <a:lumMod val="50000"/>
                </a:schemeClr>
              </a:solidFill>
            </a:endParaRPr>
          </a:p>
        </xdr:txBody>
      </xdr:sp>
      <xdr:sp macro="" textlink="'SALES DATA'!L8">
        <xdr:nvSpPr>
          <xdr:cNvPr id="23" name="TextBox 22">
            <a:extLst>
              <a:ext uri="{FF2B5EF4-FFF2-40B4-BE49-F238E27FC236}">
                <a16:creationId xmlns:a16="http://schemas.microsoft.com/office/drawing/2014/main" id="{9412D8A0-8A6C-115E-6EF5-832CA1EA0A70}"/>
              </a:ext>
            </a:extLst>
          </xdr:cNvPr>
          <xdr:cNvSpPr txBox="1"/>
        </xdr:nvSpPr>
        <xdr:spPr>
          <a:xfrm>
            <a:off x="914400" y="1628775"/>
            <a:ext cx="17049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2C21456-7414-4204-BD86-EA69BB2D105A}" type="TxLink">
              <a:rPr lang="en-US" sz="1800" b="1" i="0" u="none" strike="noStrike" cap="none" spc="0">
                <a:ln w="0"/>
                <a:solidFill>
                  <a:schemeClr val="tx2">
                    <a:lumMod val="90000"/>
                    <a:lumOff val="10000"/>
                  </a:schemeClr>
                </a:solidFill>
                <a:effectLst>
                  <a:outerShdw blurRad="38100" dist="25400" dir="5400000" algn="ctr" rotWithShape="0">
                    <a:srgbClr val="6E747A">
                      <a:alpha val="43000"/>
                    </a:srgbClr>
                  </a:outerShdw>
                </a:effectLst>
                <a:latin typeface="Aptos Narrow"/>
              </a:rPr>
              <a:pPr algn="l"/>
              <a:t> ₹ 258,890 </a:t>
            </a:fld>
            <a:endParaRPr lang="en-US" sz="1800" b="1" cap="none" spc="0">
              <a:ln w="0"/>
              <a:solidFill>
                <a:schemeClr val="tx2">
                  <a:lumMod val="90000"/>
                  <a:lumOff val="10000"/>
                </a:schemeClr>
              </a:solidFill>
              <a:effectLst>
                <a:outerShdw blurRad="38100" dist="25400" dir="5400000" algn="ctr" rotWithShape="0">
                  <a:srgbClr val="6E747A">
                    <a:alpha val="43000"/>
                  </a:srgbClr>
                </a:outerShdw>
              </a:effectLst>
            </a:endParaRPr>
          </a:p>
        </xdr:txBody>
      </xdr:sp>
    </xdr:grpSp>
    <xdr:clientData/>
  </xdr:twoCellAnchor>
  <xdr:twoCellAnchor>
    <xdr:from>
      <xdr:col>9</xdr:col>
      <xdr:colOff>152400</xdr:colOff>
      <xdr:row>6</xdr:row>
      <xdr:rowOff>19049</xdr:rowOff>
    </xdr:from>
    <xdr:to>
      <xdr:col>13</xdr:col>
      <xdr:colOff>476250</xdr:colOff>
      <xdr:row>11</xdr:row>
      <xdr:rowOff>104775</xdr:rowOff>
    </xdr:to>
    <xdr:grpSp>
      <xdr:nvGrpSpPr>
        <xdr:cNvPr id="24" name="Group 23">
          <a:extLst>
            <a:ext uri="{FF2B5EF4-FFF2-40B4-BE49-F238E27FC236}">
              <a16:creationId xmlns:a16="http://schemas.microsoft.com/office/drawing/2014/main" id="{1F0C8466-2E56-8967-5A67-977AB7FCAD18}"/>
            </a:ext>
          </a:extLst>
        </xdr:cNvPr>
        <xdr:cNvGrpSpPr/>
      </xdr:nvGrpSpPr>
      <xdr:grpSpPr>
        <a:xfrm>
          <a:off x="5581650" y="1162049"/>
          <a:ext cx="2736850" cy="1038226"/>
          <a:chOff x="0" y="1152524"/>
          <a:chExt cx="2762250" cy="1038226"/>
        </a:xfrm>
      </xdr:grpSpPr>
      <xdr:sp macro="" textlink="">
        <xdr:nvSpPr>
          <xdr:cNvPr id="25" name="Rectangle: Rounded Corners 24">
            <a:extLst>
              <a:ext uri="{FF2B5EF4-FFF2-40B4-BE49-F238E27FC236}">
                <a16:creationId xmlns:a16="http://schemas.microsoft.com/office/drawing/2014/main" id="{492AC648-E949-43E1-9E98-B5472FF53963}"/>
              </a:ext>
            </a:extLst>
          </xdr:cNvPr>
          <xdr:cNvSpPr/>
        </xdr:nvSpPr>
        <xdr:spPr>
          <a:xfrm>
            <a:off x="0" y="1152524"/>
            <a:ext cx="2762250" cy="10191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D4DFAC7E-15A2-F8EB-6724-99E79C0CF7A8}"/>
              </a:ext>
            </a:extLst>
          </xdr:cNvPr>
          <xdr:cNvSpPr/>
        </xdr:nvSpPr>
        <xdr:spPr>
          <a:xfrm>
            <a:off x="28575" y="1162050"/>
            <a:ext cx="742950" cy="1028700"/>
          </a:xfrm>
          <a:prstGeom prst="round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22906B3C-673C-AE78-DDA9-004D934D0BE4}"/>
              </a:ext>
            </a:extLst>
          </xdr:cNvPr>
          <xdr:cNvSpPr txBox="1"/>
        </xdr:nvSpPr>
        <xdr:spPr>
          <a:xfrm>
            <a:off x="1000125" y="1333500"/>
            <a:ext cx="13811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4">
                    <a:lumMod val="50000"/>
                  </a:schemeClr>
                </a:solidFill>
              </a:rPr>
              <a:t>UNIT</a:t>
            </a:r>
            <a:r>
              <a:rPr lang="en-US" sz="1600" b="1" baseline="0">
                <a:solidFill>
                  <a:schemeClr val="accent4">
                    <a:lumMod val="50000"/>
                  </a:schemeClr>
                </a:solidFill>
              </a:rPr>
              <a:t> SOLD</a:t>
            </a:r>
            <a:endParaRPr lang="en-US" sz="1600" b="1">
              <a:solidFill>
                <a:schemeClr val="accent4">
                  <a:lumMod val="50000"/>
                </a:schemeClr>
              </a:solidFill>
            </a:endParaRPr>
          </a:p>
        </xdr:txBody>
      </xdr:sp>
      <xdr:sp macro="" textlink="'SALES DATA'!L4">
        <xdr:nvSpPr>
          <xdr:cNvPr id="28" name="TextBox 27">
            <a:extLst>
              <a:ext uri="{FF2B5EF4-FFF2-40B4-BE49-F238E27FC236}">
                <a16:creationId xmlns:a16="http://schemas.microsoft.com/office/drawing/2014/main" id="{FB770E57-FE73-BB04-4249-450B5B34CC18}"/>
              </a:ext>
            </a:extLst>
          </xdr:cNvPr>
          <xdr:cNvSpPr txBox="1"/>
        </xdr:nvSpPr>
        <xdr:spPr>
          <a:xfrm>
            <a:off x="1028700" y="1628775"/>
            <a:ext cx="17049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5D4DE68-FEA7-414E-A46A-E8674F6E3CD1}" type="TxLink">
              <a:rPr lang="en-US" sz="1800" b="1" i="0" u="none" strike="noStrike" cap="none" spc="0">
                <a:ln w="0"/>
                <a:solidFill>
                  <a:schemeClr val="tx2">
                    <a:lumMod val="90000"/>
                    <a:lumOff val="10000"/>
                  </a:schemeClr>
                </a:solidFill>
                <a:effectLst>
                  <a:outerShdw blurRad="38100" dist="25400" dir="5400000" algn="ctr" rotWithShape="0">
                    <a:srgbClr val="6E747A">
                      <a:alpha val="43000"/>
                    </a:srgbClr>
                  </a:outerShdw>
                </a:effectLst>
                <a:latin typeface="Aptos Narrow"/>
              </a:rPr>
              <a:pPr algn="l"/>
              <a:t> 4,705 </a:t>
            </a:fld>
            <a:endParaRPr lang="en-US" sz="1800" b="1" cap="none" spc="0">
              <a:ln w="0"/>
              <a:solidFill>
                <a:schemeClr val="tx2">
                  <a:lumMod val="90000"/>
                  <a:lumOff val="10000"/>
                </a:schemeClr>
              </a:solidFill>
              <a:effectLst>
                <a:outerShdw blurRad="38100" dist="25400" dir="5400000" algn="ctr" rotWithShape="0">
                  <a:srgbClr val="6E747A">
                    <a:alpha val="43000"/>
                  </a:srgbClr>
                </a:outerShdw>
              </a:effectLst>
            </a:endParaRPr>
          </a:p>
        </xdr:txBody>
      </xdr:sp>
    </xdr:grpSp>
    <xdr:clientData/>
  </xdr:twoCellAnchor>
  <xdr:twoCellAnchor>
    <xdr:from>
      <xdr:col>13</xdr:col>
      <xdr:colOff>581025</xdr:colOff>
      <xdr:row>6</xdr:row>
      <xdr:rowOff>19049</xdr:rowOff>
    </xdr:from>
    <xdr:to>
      <xdr:col>18</xdr:col>
      <xdr:colOff>295275</xdr:colOff>
      <xdr:row>11</xdr:row>
      <xdr:rowOff>85724</xdr:rowOff>
    </xdr:to>
    <xdr:grpSp>
      <xdr:nvGrpSpPr>
        <xdr:cNvPr id="29" name="Group 28">
          <a:extLst>
            <a:ext uri="{FF2B5EF4-FFF2-40B4-BE49-F238E27FC236}">
              <a16:creationId xmlns:a16="http://schemas.microsoft.com/office/drawing/2014/main" id="{0E233D0C-216B-50D2-057C-A05BF107093D}"/>
            </a:ext>
          </a:extLst>
        </xdr:cNvPr>
        <xdr:cNvGrpSpPr/>
      </xdr:nvGrpSpPr>
      <xdr:grpSpPr>
        <a:xfrm>
          <a:off x="8423275" y="1162049"/>
          <a:ext cx="2730500" cy="1019175"/>
          <a:chOff x="0" y="1152524"/>
          <a:chExt cx="2762250" cy="1019175"/>
        </a:xfrm>
      </xdr:grpSpPr>
      <xdr:sp macro="" textlink="">
        <xdr:nvSpPr>
          <xdr:cNvPr id="30" name="Rectangle: Rounded Corners 29">
            <a:extLst>
              <a:ext uri="{FF2B5EF4-FFF2-40B4-BE49-F238E27FC236}">
                <a16:creationId xmlns:a16="http://schemas.microsoft.com/office/drawing/2014/main" id="{F8FFC142-21E2-74E8-B885-CEDE45E87297}"/>
              </a:ext>
            </a:extLst>
          </xdr:cNvPr>
          <xdr:cNvSpPr/>
        </xdr:nvSpPr>
        <xdr:spPr>
          <a:xfrm>
            <a:off x="0" y="1152524"/>
            <a:ext cx="2762250" cy="10191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Rounded Corners 30">
            <a:extLst>
              <a:ext uri="{FF2B5EF4-FFF2-40B4-BE49-F238E27FC236}">
                <a16:creationId xmlns:a16="http://schemas.microsoft.com/office/drawing/2014/main" id="{1A18D304-D355-7B82-3666-894CF7BEE792}"/>
              </a:ext>
            </a:extLst>
          </xdr:cNvPr>
          <xdr:cNvSpPr/>
        </xdr:nvSpPr>
        <xdr:spPr>
          <a:xfrm>
            <a:off x="85725" y="1162050"/>
            <a:ext cx="685800" cy="1000126"/>
          </a:xfrm>
          <a:prstGeom prst="roundRect">
            <a:avLst/>
          </a:prstGeom>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62708CC9-5318-974F-9677-6A5F8097B31D}"/>
              </a:ext>
            </a:extLst>
          </xdr:cNvPr>
          <xdr:cNvSpPr txBox="1"/>
        </xdr:nvSpPr>
        <xdr:spPr>
          <a:xfrm>
            <a:off x="1000125" y="1333500"/>
            <a:ext cx="13811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4">
                    <a:lumMod val="50000"/>
                  </a:schemeClr>
                </a:solidFill>
              </a:rPr>
              <a:t>PROFIT</a:t>
            </a:r>
          </a:p>
        </xdr:txBody>
      </xdr:sp>
      <xdr:sp macro="" textlink="'SALES DATA'!L6">
        <xdr:nvSpPr>
          <xdr:cNvPr id="33" name="TextBox 32">
            <a:extLst>
              <a:ext uri="{FF2B5EF4-FFF2-40B4-BE49-F238E27FC236}">
                <a16:creationId xmlns:a16="http://schemas.microsoft.com/office/drawing/2014/main" id="{4E643EA4-C857-FAB5-027F-E9186BA50684}"/>
              </a:ext>
            </a:extLst>
          </xdr:cNvPr>
          <xdr:cNvSpPr txBox="1"/>
        </xdr:nvSpPr>
        <xdr:spPr>
          <a:xfrm>
            <a:off x="914400" y="1647825"/>
            <a:ext cx="17049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ACC0762-31C0-4755-B13A-35D912029E0A}" type="TxLink">
              <a:rPr lang="en-US" sz="1800" b="1" i="0" u="none" strike="noStrike" cap="none" spc="0">
                <a:ln w="0"/>
                <a:solidFill>
                  <a:schemeClr val="tx2">
                    <a:lumMod val="90000"/>
                    <a:lumOff val="10000"/>
                  </a:schemeClr>
                </a:solidFill>
                <a:effectLst>
                  <a:outerShdw blurRad="38100" dist="25400" dir="5400000" algn="ctr" rotWithShape="0">
                    <a:srgbClr val="6E747A">
                      <a:alpha val="43000"/>
                    </a:srgbClr>
                  </a:outerShdw>
                </a:effectLst>
                <a:latin typeface="Aptos Narrow"/>
              </a:rPr>
              <a:pPr algn="l"/>
              <a:t> ₹ 3,834,400 </a:t>
            </a:fld>
            <a:endParaRPr lang="en-US" sz="1800" b="1" cap="none" spc="0">
              <a:ln w="0"/>
              <a:solidFill>
                <a:schemeClr val="tx2">
                  <a:lumMod val="90000"/>
                  <a:lumOff val="10000"/>
                </a:schemeClr>
              </a:solidFill>
              <a:effectLst>
                <a:outerShdw blurRad="38100" dist="25400" dir="5400000" algn="ctr" rotWithShape="0">
                  <a:srgbClr val="6E747A">
                    <a:alpha val="43000"/>
                  </a:srgbClr>
                </a:outerShdw>
              </a:effectLst>
            </a:endParaRPr>
          </a:p>
        </xdr:txBody>
      </xdr:sp>
    </xdr:grpSp>
    <xdr:clientData/>
  </xdr:twoCellAnchor>
  <xdr:twoCellAnchor editAs="oneCell">
    <xdr:from>
      <xdr:col>0</xdr:col>
      <xdr:colOff>180974</xdr:colOff>
      <xdr:row>7</xdr:row>
      <xdr:rowOff>28575</xdr:rowOff>
    </xdr:from>
    <xdr:to>
      <xdr:col>1</xdr:col>
      <xdr:colOff>76199</xdr:colOff>
      <xdr:row>10</xdr:row>
      <xdr:rowOff>57150</xdr:rowOff>
    </xdr:to>
    <xdr:pic>
      <xdr:nvPicPr>
        <xdr:cNvPr id="35" name="Graphic 34" descr="Rupee with solid fill">
          <a:extLst>
            <a:ext uri="{FF2B5EF4-FFF2-40B4-BE49-F238E27FC236}">
              <a16:creationId xmlns:a16="http://schemas.microsoft.com/office/drawing/2014/main" id="{36027A69-B57A-47A0-D4D6-1D1CBF357F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974" y="1362075"/>
          <a:ext cx="504825" cy="600075"/>
        </a:xfrm>
        <a:prstGeom prst="rect">
          <a:avLst/>
        </a:prstGeom>
      </xdr:spPr>
    </xdr:pic>
    <xdr:clientData/>
  </xdr:twoCellAnchor>
  <xdr:twoCellAnchor editAs="oneCell">
    <xdr:from>
      <xdr:col>4</xdr:col>
      <xdr:colOff>457199</xdr:colOff>
      <xdr:row>6</xdr:row>
      <xdr:rowOff>133350</xdr:rowOff>
    </xdr:from>
    <xdr:to>
      <xdr:col>5</xdr:col>
      <xdr:colOff>409574</xdr:colOff>
      <xdr:row>10</xdr:row>
      <xdr:rowOff>95250</xdr:rowOff>
    </xdr:to>
    <xdr:pic>
      <xdr:nvPicPr>
        <xdr:cNvPr id="37" name="Graphic 36" descr="Coins with solid fill">
          <a:extLst>
            <a:ext uri="{FF2B5EF4-FFF2-40B4-BE49-F238E27FC236}">
              <a16:creationId xmlns:a16="http://schemas.microsoft.com/office/drawing/2014/main" id="{BEE480CB-0093-123B-25B0-0A33AA42F3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95599" y="1276350"/>
          <a:ext cx="561975" cy="723900"/>
        </a:xfrm>
        <a:prstGeom prst="rect">
          <a:avLst/>
        </a:prstGeom>
      </xdr:spPr>
    </xdr:pic>
    <xdr:clientData/>
  </xdr:twoCellAnchor>
  <xdr:twoCellAnchor editAs="oneCell">
    <xdr:from>
      <xdr:col>14</xdr:col>
      <xdr:colOff>104775</xdr:colOff>
      <xdr:row>6</xdr:row>
      <xdr:rowOff>130950</xdr:rowOff>
    </xdr:from>
    <xdr:to>
      <xdr:col>15</xdr:col>
      <xdr:colOff>38100</xdr:colOff>
      <xdr:row>10</xdr:row>
      <xdr:rowOff>152400</xdr:rowOff>
    </xdr:to>
    <xdr:pic>
      <xdr:nvPicPr>
        <xdr:cNvPr id="39" name="Graphic 38" descr="Upward trend with solid fill">
          <a:extLst>
            <a:ext uri="{FF2B5EF4-FFF2-40B4-BE49-F238E27FC236}">
              <a16:creationId xmlns:a16="http://schemas.microsoft.com/office/drawing/2014/main" id="{9FE21F6A-080D-DAD9-D6C9-FEE724DFF3A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639175" y="1273950"/>
          <a:ext cx="542925" cy="783450"/>
        </a:xfrm>
        <a:prstGeom prst="rect">
          <a:avLst/>
        </a:prstGeom>
      </xdr:spPr>
    </xdr:pic>
    <xdr:clientData/>
  </xdr:twoCellAnchor>
  <xdr:twoCellAnchor editAs="oneCell">
    <xdr:from>
      <xdr:col>9</xdr:col>
      <xdr:colOff>223800</xdr:colOff>
      <xdr:row>6</xdr:row>
      <xdr:rowOff>142875</xdr:rowOff>
    </xdr:from>
    <xdr:to>
      <xdr:col>10</xdr:col>
      <xdr:colOff>276225</xdr:colOff>
      <xdr:row>10</xdr:row>
      <xdr:rowOff>85725</xdr:rowOff>
    </xdr:to>
    <xdr:pic>
      <xdr:nvPicPr>
        <xdr:cNvPr id="41" name="Graphic 40" descr="Good Inventory with solid fill">
          <a:extLst>
            <a:ext uri="{FF2B5EF4-FFF2-40B4-BE49-F238E27FC236}">
              <a16:creationId xmlns:a16="http://schemas.microsoft.com/office/drawing/2014/main" id="{73BFCA43-3F3C-6FA5-5D0D-18632FC4868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10200" y="1285875"/>
          <a:ext cx="662025" cy="704850"/>
        </a:xfrm>
        <a:prstGeom prst="rect">
          <a:avLst/>
        </a:prstGeom>
      </xdr:spPr>
    </xdr:pic>
    <xdr:clientData/>
  </xdr:twoCellAnchor>
  <xdr:twoCellAnchor>
    <xdr:from>
      <xdr:col>7</xdr:col>
      <xdr:colOff>406400</xdr:colOff>
      <xdr:row>1</xdr:row>
      <xdr:rowOff>104775</xdr:rowOff>
    </xdr:from>
    <xdr:to>
      <xdr:col>17</xdr:col>
      <xdr:colOff>425450</xdr:colOff>
      <xdr:row>4</xdr:row>
      <xdr:rowOff>142875</xdr:rowOff>
    </xdr:to>
    <xdr:sp macro="" textlink="">
      <xdr:nvSpPr>
        <xdr:cNvPr id="42" name="TextBox 41">
          <a:extLst>
            <a:ext uri="{FF2B5EF4-FFF2-40B4-BE49-F238E27FC236}">
              <a16:creationId xmlns:a16="http://schemas.microsoft.com/office/drawing/2014/main" id="{63893C05-F6BC-ADD2-860B-E84CDDD3EF3E}"/>
            </a:ext>
          </a:extLst>
        </xdr:cNvPr>
        <xdr:cNvSpPr txBox="1"/>
      </xdr:nvSpPr>
      <xdr:spPr>
        <a:xfrm>
          <a:off x="4629150" y="295275"/>
          <a:ext cx="605155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1">
                  <a:lumMod val="75000"/>
                </a:schemeClr>
              </a:solidFill>
            </a:rPr>
            <a:t>SALES</a:t>
          </a:r>
          <a:r>
            <a:rPr lang="en-US" sz="3200" b="1">
              <a:solidFill>
                <a:schemeClr val="accent1">
                  <a:lumMod val="75000"/>
                </a:schemeClr>
              </a:solidFill>
            </a:rPr>
            <a:t> </a:t>
          </a:r>
          <a:r>
            <a:rPr lang="en-US" sz="3600" b="1">
              <a:solidFill>
                <a:schemeClr val="accent1">
                  <a:lumMod val="75000"/>
                </a:schemeClr>
              </a:solidFill>
            </a:rPr>
            <a:t>DASHBOARD</a:t>
          </a:r>
          <a:r>
            <a:rPr lang="en-US" sz="3200" b="1">
              <a:solidFill>
                <a:schemeClr val="accent1">
                  <a:lumMod val="75000"/>
                </a:schemeClr>
              </a:solidFill>
            </a:rPr>
            <a:t> </a:t>
          </a:r>
          <a:r>
            <a:rPr lang="en-US" sz="3600" b="1">
              <a:solidFill>
                <a:schemeClr val="accent1">
                  <a:lumMod val="75000"/>
                </a:schemeClr>
              </a:solidFill>
            </a:rPr>
            <a:t>- 2026</a:t>
          </a:r>
        </a:p>
      </xdr:txBody>
    </xdr:sp>
    <xdr:clientData/>
  </xdr:twoCellAnchor>
  <xdr:twoCellAnchor>
    <xdr:from>
      <xdr:col>6</xdr:col>
      <xdr:colOff>34925</xdr:colOff>
      <xdr:row>1</xdr:row>
      <xdr:rowOff>60324</xdr:rowOff>
    </xdr:from>
    <xdr:to>
      <xdr:col>8</xdr:col>
      <xdr:colOff>111125</xdr:colOff>
      <xdr:row>4</xdr:row>
      <xdr:rowOff>165099</xdr:rowOff>
    </xdr:to>
    <xdr:sp macro="" textlink="">
      <xdr:nvSpPr>
        <xdr:cNvPr id="43" name="Oval 42" descr="Collision with solid fill">
          <a:extLst>
            <a:ext uri="{FF2B5EF4-FFF2-40B4-BE49-F238E27FC236}">
              <a16:creationId xmlns:a16="http://schemas.microsoft.com/office/drawing/2014/main" id="{51CDE4EC-7288-D122-8217-B01590B0FA7E}"/>
            </a:ext>
          </a:extLst>
        </xdr:cNvPr>
        <xdr:cNvSpPr/>
      </xdr:nvSpPr>
      <xdr:spPr>
        <a:xfrm>
          <a:off x="3654425" y="250824"/>
          <a:ext cx="1282700" cy="676275"/>
        </a:xfrm>
        <a:prstGeom prst="ellipse">
          <a:avLst/>
        </a:prstGeom>
        <a:blipFill dpi="0" rotWithShape="1">
          <a:blip xmlns:r="http://schemas.openxmlformats.org/officeDocument/2006/relationships" r:embed="rId9">
            <a:extLst>
              <a:ext uri="{96DAC541-7B7A-43D3-8B79-37D633B846F1}">
                <asvg:svgBlip xmlns:asvg="http://schemas.microsoft.com/office/drawing/2016/SVG/main" r:embed="rId10"/>
              </a:ext>
            </a:extLst>
          </a:blip>
          <a:srcRect/>
          <a:stretch>
            <a:fillRect/>
          </a:stretch>
        </a:blipFill>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18</xdr:col>
      <xdr:colOff>408214</xdr:colOff>
      <xdr:row>6</xdr:row>
      <xdr:rowOff>149679</xdr:rowOff>
    </xdr:from>
    <xdr:to>
      <xdr:col>23</xdr:col>
      <xdr:colOff>217714</xdr:colOff>
      <xdr:row>11</xdr:row>
      <xdr:rowOff>40822</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139C8C31-F196-4FF9-B17B-3806A289BD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266714" y="1292679"/>
              <a:ext cx="2825750" cy="843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3</xdr:col>
      <xdr:colOff>585106</xdr:colOff>
      <xdr:row>26</xdr:row>
      <xdr:rowOff>15875</xdr:rowOff>
    </xdr:to>
    <mc:AlternateContent xmlns:mc="http://schemas.openxmlformats.org/markup-compatibility/2006" xmlns:a14="http://schemas.microsoft.com/office/drawing/2010/main">
      <mc:Choice Requires="a14">
        <xdr:graphicFrame macro="">
          <xdr:nvGraphicFramePr>
            <xdr:cNvPr id="15" name="Product 1">
              <a:extLst>
                <a:ext uri="{FF2B5EF4-FFF2-40B4-BE49-F238E27FC236}">
                  <a16:creationId xmlns:a16="http://schemas.microsoft.com/office/drawing/2014/main" id="{C4B9DB5A-249F-487E-9A13-C547C413BEB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286000"/>
              <a:ext cx="1828800" cy="2558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174625</xdr:rowOff>
    </xdr:from>
    <xdr:to>
      <xdr:col>3</xdr:col>
      <xdr:colOff>571500</xdr:colOff>
      <xdr:row>46</xdr:row>
      <xdr:rowOff>174625</xdr:rowOff>
    </xdr:to>
    <mc:AlternateContent xmlns:mc="http://schemas.openxmlformats.org/markup-compatibility/2006">
      <mc:Choice xmlns:a14="http://schemas.microsoft.com/office/drawing/2010/main" Requires="a14">
        <xdr:graphicFrame macro="">
          <xdr:nvGraphicFramePr>
            <xdr:cNvPr id="16" name="Sales Person 1">
              <a:extLst>
                <a:ext uri="{FF2B5EF4-FFF2-40B4-BE49-F238E27FC236}">
                  <a16:creationId xmlns:a16="http://schemas.microsoft.com/office/drawing/2014/main" id="{46F4758E-2FF3-43B1-9EBD-6115A0686617}"/>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0" y="4937125"/>
              <a:ext cx="2381250" cy="400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438144</xdr:colOff>
      <xdr:row>11</xdr:row>
      <xdr:rowOff>127001</xdr:rowOff>
    </xdr:from>
    <xdr:to>
      <xdr:col>14</xdr:col>
      <xdr:colOff>190499</xdr:colOff>
      <xdr:row>30</xdr:row>
      <xdr:rowOff>1</xdr:rowOff>
    </xdr:to>
    <xdr:sp macro="" textlink="">
      <xdr:nvSpPr>
        <xdr:cNvPr id="17" name="Rectangle: Rounded Corners 16">
          <a:extLst>
            <a:ext uri="{FF2B5EF4-FFF2-40B4-BE49-F238E27FC236}">
              <a16:creationId xmlns:a16="http://schemas.microsoft.com/office/drawing/2014/main" id="{54278271-89FF-8570-49EB-DE9AFC49EC58}"/>
            </a:ext>
          </a:extLst>
        </xdr:cNvPr>
        <xdr:cNvSpPr/>
      </xdr:nvSpPr>
      <xdr:spPr>
        <a:xfrm>
          <a:off x="2851144" y="2222501"/>
          <a:ext cx="5784855" cy="3492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54429</xdr:colOff>
      <xdr:row>13</xdr:row>
      <xdr:rowOff>40823</xdr:rowOff>
    </xdr:from>
    <xdr:to>
      <xdr:col>7</xdr:col>
      <xdr:colOff>598714</xdr:colOff>
      <xdr:row>14</xdr:row>
      <xdr:rowOff>136072</xdr:rowOff>
    </xdr:to>
    <xdr:sp macro="" textlink="">
      <xdr:nvSpPr>
        <xdr:cNvPr id="34" name="TextBox 33">
          <a:extLst>
            <a:ext uri="{FF2B5EF4-FFF2-40B4-BE49-F238E27FC236}">
              <a16:creationId xmlns:a16="http://schemas.microsoft.com/office/drawing/2014/main" id="{64AE2A2E-1A83-8F9B-FF96-B5B5935C9890}"/>
            </a:ext>
          </a:extLst>
        </xdr:cNvPr>
        <xdr:cNvSpPr txBox="1"/>
      </xdr:nvSpPr>
      <xdr:spPr>
        <a:xfrm>
          <a:off x="3116036" y="2517323"/>
          <a:ext cx="1768928"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90000"/>
                  <a:lumOff val="10000"/>
                </a:schemeClr>
              </a:solidFill>
            </a:rPr>
            <a:t>UNIT SOLD BY PRODUCT</a:t>
          </a:r>
        </a:p>
      </xdr:txBody>
    </xdr:sp>
    <xdr:clientData/>
  </xdr:twoCellAnchor>
  <xdr:twoCellAnchor>
    <xdr:from>
      <xdr:col>4</xdr:col>
      <xdr:colOff>601432</xdr:colOff>
      <xdr:row>14</xdr:row>
      <xdr:rowOff>95251</xdr:rowOff>
    </xdr:from>
    <xdr:to>
      <xdr:col>12</xdr:col>
      <xdr:colOff>449036</xdr:colOff>
      <xdr:row>29</xdr:row>
      <xdr:rowOff>127000</xdr:rowOff>
    </xdr:to>
    <xdr:graphicFrame macro="">
      <xdr:nvGraphicFramePr>
        <xdr:cNvPr id="11" name="Chart 10">
          <a:extLst>
            <a:ext uri="{FF2B5EF4-FFF2-40B4-BE49-F238E27FC236}">
              <a16:creationId xmlns:a16="http://schemas.microsoft.com/office/drawing/2014/main" id="{595FDAC1-3D5F-47DB-ACD1-8524BE1AE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269876</xdr:colOff>
      <xdr:row>11</xdr:row>
      <xdr:rowOff>95251</xdr:rowOff>
    </xdr:from>
    <xdr:to>
      <xdr:col>23</xdr:col>
      <xdr:colOff>222250</xdr:colOff>
      <xdr:row>29</xdr:row>
      <xdr:rowOff>1</xdr:rowOff>
    </xdr:to>
    <xdr:sp macro="" textlink="">
      <xdr:nvSpPr>
        <xdr:cNvPr id="12" name="Rectangle: Rounded Corners 11">
          <a:extLst>
            <a:ext uri="{FF2B5EF4-FFF2-40B4-BE49-F238E27FC236}">
              <a16:creationId xmlns:a16="http://schemas.microsoft.com/office/drawing/2014/main" id="{1A977DD8-12D8-4FD0-BC3D-CA1EA633584A}"/>
            </a:ext>
          </a:extLst>
        </xdr:cNvPr>
        <xdr:cNvSpPr/>
      </xdr:nvSpPr>
      <xdr:spPr>
        <a:xfrm>
          <a:off x="8715376" y="2190751"/>
          <a:ext cx="5381624" cy="33337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458557</xdr:colOff>
      <xdr:row>30</xdr:row>
      <xdr:rowOff>63501</xdr:rowOff>
    </xdr:from>
    <xdr:to>
      <xdr:col>14</xdr:col>
      <xdr:colOff>222250</xdr:colOff>
      <xdr:row>47</xdr:row>
      <xdr:rowOff>158750</xdr:rowOff>
    </xdr:to>
    <xdr:sp macro="" textlink="">
      <xdr:nvSpPr>
        <xdr:cNvPr id="13" name="Rectangle: Rounded Corners 12">
          <a:extLst>
            <a:ext uri="{FF2B5EF4-FFF2-40B4-BE49-F238E27FC236}">
              <a16:creationId xmlns:a16="http://schemas.microsoft.com/office/drawing/2014/main" id="{95519B0A-D343-2E95-FDED-98CB2C5534C1}"/>
            </a:ext>
          </a:extLst>
        </xdr:cNvPr>
        <xdr:cNvSpPr/>
      </xdr:nvSpPr>
      <xdr:spPr>
        <a:xfrm>
          <a:off x="2871557" y="5778501"/>
          <a:ext cx="5796193" cy="333374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238125</xdr:colOff>
      <xdr:row>29</xdr:row>
      <xdr:rowOff>31752</xdr:rowOff>
    </xdr:from>
    <xdr:to>
      <xdr:col>23</xdr:col>
      <xdr:colOff>254001</xdr:colOff>
      <xdr:row>48</xdr:row>
      <xdr:rowOff>15876</xdr:rowOff>
    </xdr:to>
    <xdr:sp macro="" textlink="">
      <xdr:nvSpPr>
        <xdr:cNvPr id="14" name="Rectangle: Rounded Corners 13">
          <a:extLst>
            <a:ext uri="{FF2B5EF4-FFF2-40B4-BE49-F238E27FC236}">
              <a16:creationId xmlns:a16="http://schemas.microsoft.com/office/drawing/2014/main" id="{9082CEE1-B773-0439-0334-E51FED0194EC}"/>
            </a:ext>
          </a:extLst>
        </xdr:cNvPr>
        <xdr:cNvSpPr/>
      </xdr:nvSpPr>
      <xdr:spPr>
        <a:xfrm>
          <a:off x="8683625" y="5556252"/>
          <a:ext cx="5445126" cy="360362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476250</xdr:colOff>
      <xdr:row>12</xdr:row>
      <xdr:rowOff>45358</xdr:rowOff>
    </xdr:from>
    <xdr:to>
      <xdr:col>17</xdr:col>
      <xdr:colOff>435429</xdr:colOff>
      <xdr:row>13</xdr:row>
      <xdr:rowOff>167822</xdr:rowOff>
    </xdr:to>
    <xdr:sp macro="" textlink="">
      <xdr:nvSpPr>
        <xdr:cNvPr id="36" name="TextBox 35">
          <a:extLst>
            <a:ext uri="{FF2B5EF4-FFF2-40B4-BE49-F238E27FC236}">
              <a16:creationId xmlns:a16="http://schemas.microsoft.com/office/drawing/2014/main" id="{FBA62625-6CC6-41AF-6CC3-1E5A15A8D1B3}"/>
            </a:ext>
          </a:extLst>
        </xdr:cNvPr>
        <xdr:cNvSpPr txBox="1"/>
      </xdr:nvSpPr>
      <xdr:spPr>
        <a:xfrm>
          <a:off x="8921750" y="2331358"/>
          <a:ext cx="1768929"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90000"/>
                  <a:lumOff val="10000"/>
                </a:schemeClr>
              </a:solidFill>
            </a:rPr>
            <a:t>TOTAL</a:t>
          </a:r>
          <a:r>
            <a:rPr lang="en-US" sz="1200" b="1" baseline="0">
              <a:solidFill>
                <a:schemeClr val="tx2">
                  <a:lumMod val="90000"/>
                  <a:lumOff val="10000"/>
                </a:schemeClr>
              </a:solidFill>
            </a:rPr>
            <a:t> SALES BY REGION</a:t>
          </a:r>
          <a:endParaRPr lang="en-US" sz="1200" b="1">
            <a:solidFill>
              <a:schemeClr val="tx2">
                <a:lumMod val="90000"/>
                <a:lumOff val="10000"/>
              </a:schemeClr>
            </a:solidFill>
          </a:endParaRPr>
        </a:p>
      </xdr:txBody>
    </xdr:sp>
    <xdr:clientData/>
  </xdr:twoCellAnchor>
  <xdr:twoCellAnchor>
    <xdr:from>
      <xdr:col>5</xdr:col>
      <xdr:colOff>312964</xdr:colOff>
      <xdr:row>31</xdr:row>
      <xdr:rowOff>49893</xdr:rowOff>
    </xdr:from>
    <xdr:to>
      <xdr:col>9</xdr:col>
      <xdr:colOff>353786</xdr:colOff>
      <xdr:row>32</xdr:row>
      <xdr:rowOff>117929</xdr:rowOff>
    </xdr:to>
    <xdr:sp macro="" textlink="">
      <xdr:nvSpPr>
        <xdr:cNvPr id="38" name="TextBox 37">
          <a:extLst>
            <a:ext uri="{FF2B5EF4-FFF2-40B4-BE49-F238E27FC236}">
              <a16:creationId xmlns:a16="http://schemas.microsoft.com/office/drawing/2014/main" id="{C599B996-55BE-CF4D-5C89-00FED4BAD30B}"/>
            </a:ext>
          </a:extLst>
        </xdr:cNvPr>
        <xdr:cNvSpPr txBox="1"/>
      </xdr:nvSpPr>
      <xdr:spPr>
        <a:xfrm>
          <a:off x="3329214" y="5955393"/>
          <a:ext cx="2453822"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rPr>
            <a:t>TOTAL SALES BY PRODUCT</a:t>
          </a:r>
        </a:p>
      </xdr:txBody>
    </xdr:sp>
    <xdr:clientData/>
  </xdr:twoCellAnchor>
  <xdr:twoCellAnchor>
    <xdr:from>
      <xdr:col>14</xdr:col>
      <xdr:colOff>521607</xdr:colOff>
      <xdr:row>31</xdr:row>
      <xdr:rowOff>47625</xdr:rowOff>
    </xdr:from>
    <xdr:to>
      <xdr:col>18</xdr:col>
      <xdr:colOff>548821</xdr:colOff>
      <xdr:row>32</xdr:row>
      <xdr:rowOff>156482</xdr:rowOff>
    </xdr:to>
    <xdr:sp macro="" textlink="">
      <xdr:nvSpPr>
        <xdr:cNvPr id="40" name="TextBox 39">
          <a:extLst>
            <a:ext uri="{FF2B5EF4-FFF2-40B4-BE49-F238E27FC236}">
              <a16:creationId xmlns:a16="http://schemas.microsoft.com/office/drawing/2014/main" id="{4CA1155C-76AF-ADFA-7464-0E6886AC0EE9}"/>
            </a:ext>
          </a:extLst>
        </xdr:cNvPr>
        <xdr:cNvSpPr txBox="1"/>
      </xdr:nvSpPr>
      <xdr:spPr>
        <a:xfrm>
          <a:off x="8967107" y="5953125"/>
          <a:ext cx="2440214"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rPr>
            <a:t>TOTAL</a:t>
          </a:r>
          <a:r>
            <a:rPr lang="en-US" sz="1200" b="1" baseline="0">
              <a:solidFill>
                <a:schemeClr val="accent1">
                  <a:lumMod val="50000"/>
                </a:schemeClr>
              </a:solidFill>
            </a:rPr>
            <a:t> SALES BY SALES PERSON</a:t>
          </a:r>
          <a:endParaRPr lang="en-US" sz="1200" b="1">
            <a:solidFill>
              <a:schemeClr val="accent1">
                <a:lumMod val="50000"/>
              </a:schemeClr>
            </a:solidFill>
          </a:endParaRPr>
        </a:p>
      </xdr:txBody>
    </xdr:sp>
    <xdr:clientData/>
  </xdr:twoCellAnchor>
  <xdr:twoCellAnchor>
    <xdr:from>
      <xdr:col>14</xdr:col>
      <xdr:colOff>447218</xdr:colOff>
      <xdr:row>13</xdr:row>
      <xdr:rowOff>120197</xdr:rowOff>
    </xdr:from>
    <xdr:to>
      <xdr:col>22</xdr:col>
      <xdr:colOff>120647</xdr:colOff>
      <xdr:row>28</xdr:row>
      <xdr:rowOff>136523</xdr:rowOff>
    </xdr:to>
    <xdr:graphicFrame macro="">
      <xdr:nvGraphicFramePr>
        <xdr:cNvPr id="44" name="Chart 43">
          <a:extLst>
            <a:ext uri="{FF2B5EF4-FFF2-40B4-BE49-F238E27FC236}">
              <a16:creationId xmlns:a16="http://schemas.microsoft.com/office/drawing/2014/main" id="{B51731A9-F8AF-4B51-B2AB-DCA9ABE2B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263522</xdr:colOff>
      <xdr:row>32</xdr:row>
      <xdr:rowOff>154213</xdr:rowOff>
    </xdr:from>
    <xdr:to>
      <xdr:col>13</xdr:col>
      <xdr:colOff>289377</xdr:colOff>
      <xdr:row>47</xdr:row>
      <xdr:rowOff>140606</xdr:rowOff>
    </xdr:to>
    <xdr:graphicFrame macro="">
      <xdr:nvGraphicFramePr>
        <xdr:cNvPr id="46" name="Chart 45">
          <a:extLst>
            <a:ext uri="{FF2B5EF4-FFF2-40B4-BE49-F238E27FC236}">
              <a16:creationId xmlns:a16="http://schemas.microsoft.com/office/drawing/2014/main" id="{5446B577-F8E3-46D9-BC75-D54E118C3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492125</xdr:colOff>
      <xdr:row>32</xdr:row>
      <xdr:rowOff>187323</xdr:rowOff>
    </xdr:from>
    <xdr:to>
      <xdr:col>23</xdr:col>
      <xdr:colOff>206375</xdr:colOff>
      <xdr:row>47</xdr:row>
      <xdr:rowOff>73023</xdr:rowOff>
    </xdr:to>
    <xdr:graphicFrame macro="">
      <xdr:nvGraphicFramePr>
        <xdr:cNvPr id="47" name="Chart 46">
          <a:extLst>
            <a:ext uri="{FF2B5EF4-FFF2-40B4-BE49-F238E27FC236}">
              <a16:creationId xmlns:a16="http://schemas.microsoft.com/office/drawing/2014/main" id="{BA963F34-52F2-44E2-81A7-B0DE147E8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sc" refreshedDate="46149.689850810188" createdVersion="8" refreshedVersion="8" minRefreshableVersion="3" recordCount="50" xr:uid="{F5139D2D-9F0A-4960-8DED-F3E0FC627BD8}">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ount="40">
        <n v="84"/>
        <n v="128"/>
        <n v="136"/>
        <n v="91"/>
        <n v="110"/>
        <n v="51"/>
        <n v="78"/>
        <n v="146"/>
        <n v="101"/>
        <n v="52"/>
        <n v="55"/>
        <n v="137"/>
        <n v="96"/>
        <n v="76"/>
        <n v="145"/>
        <n v="83"/>
        <n v="108"/>
        <n v="144"/>
        <n v="92"/>
        <n v="71"/>
        <n v="103"/>
        <n v="93"/>
        <n v="143"/>
        <n v="99"/>
        <n v="120"/>
        <n v="66"/>
        <n v="88"/>
        <n v="127"/>
        <n v="67"/>
        <n v="149"/>
        <n v="104"/>
        <n v="57"/>
        <n v="90"/>
        <n v="69"/>
        <n v="59"/>
        <n v="109"/>
        <n v="61"/>
        <n v="130"/>
        <n v="60"/>
        <n v="73"/>
      </sharedItems>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25917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x v="0"/>
    <n v="6000"/>
    <n v="4000"/>
    <n v="504000"/>
    <n v="168000"/>
  </r>
  <r>
    <d v="2021-09-07T00:00:00"/>
    <x v="1"/>
    <x v="1"/>
    <x v="1"/>
    <x v="1"/>
    <n v="3500"/>
    <n v="2500"/>
    <n v="448000"/>
    <n v="128000"/>
  </r>
  <r>
    <d v="2021-02-03T00:00:00"/>
    <x v="2"/>
    <x v="2"/>
    <x v="2"/>
    <x v="2"/>
    <n v="1200"/>
    <n v="800"/>
    <n v="163200"/>
    <n v="54400"/>
  </r>
  <r>
    <d v="2020-09-11T00:00:00"/>
    <x v="3"/>
    <x v="3"/>
    <x v="3"/>
    <x v="3"/>
    <n v="1000"/>
    <n v="700"/>
    <n v="91000"/>
    <n v="27300"/>
  </r>
  <r>
    <d v="2021-09-23T00:00:00"/>
    <x v="4"/>
    <x v="0"/>
    <x v="4"/>
    <x v="4"/>
    <n v="4000"/>
    <n v="3000"/>
    <n v="440000"/>
    <n v="110000"/>
  </r>
  <r>
    <d v="2020-10-01T00:00:00"/>
    <x v="5"/>
    <x v="1"/>
    <x v="2"/>
    <x v="5"/>
    <n v="1200"/>
    <n v="800"/>
    <n v="61200"/>
    <n v="20400"/>
  </r>
  <r>
    <d v="2021-08-05T00:00:00"/>
    <x v="6"/>
    <x v="3"/>
    <x v="3"/>
    <x v="6"/>
    <n v="1000"/>
    <n v="700"/>
    <n v="78000"/>
    <n v="23400"/>
  </r>
  <r>
    <d v="2020-11-06T00:00:00"/>
    <x v="7"/>
    <x v="2"/>
    <x v="0"/>
    <x v="7"/>
    <n v="6000"/>
    <n v="4000"/>
    <n v="876000"/>
    <n v="292000"/>
  </r>
  <r>
    <d v="2021-01-27T00:00:00"/>
    <x v="8"/>
    <x v="0"/>
    <x v="5"/>
    <x v="8"/>
    <n v="600"/>
    <n v="400"/>
    <n v="60600"/>
    <n v="20200"/>
  </r>
  <r>
    <d v="2021-09-03T00:00:00"/>
    <x v="9"/>
    <x v="2"/>
    <x v="0"/>
    <x v="9"/>
    <n v="6000"/>
    <n v="4000"/>
    <n v="312000"/>
    <n v="104000"/>
  </r>
  <r>
    <d v="2021-09-30T00:00:00"/>
    <x v="9"/>
    <x v="1"/>
    <x v="2"/>
    <x v="10"/>
    <n v="1200"/>
    <n v="800"/>
    <n v="66000"/>
    <n v="22000"/>
  </r>
  <r>
    <d v="2020-09-10T00:00:00"/>
    <x v="9"/>
    <x v="2"/>
    <x v="3"/>
    <x v="11"/>
    <n v="1000"/>
    <n v="700"/>
    <n v="137000"/>
    <n v="41100"/>
  </r>
  <r>
    <d v="2021-07-27T00:00:00"/>
    <x v="7"/>
    <x v="2"/>
    <x v="1"/>
    <x v="12"/>
    <n v="3500"/>
    <n v="2500"/>
    <n v="336000"/>
    <n v="96000"/>
  </r>
  <r>
    <d v="2020-10-09T00:00:00"/>
    <x v="8"/>
    <x v="1"/>
    <x v="4"/>
    <x v="9"/>
    <n v="4000"/>
    <n v="3000"/>
    <n v="208000"/>
    <n v="52000"/>
  </r>
  <r>
    <d v="2021-04-06T00:00:00"/>
    <x v="3"/>
    <x v="0"/>
    <x v="1"/>
    <x v="13"/>
    <n v="3500"/>
    <n v="2500"/>
    <n v="266000"/>
    <n v="76000"/>
  </r>
  <r>
    <d v="2021-06-15T00:00:00"/>
    <x v="1"/>
    <x v="3"/>
    <x v="4"/>
    <x v="14"/>
    <n v="4000"/>
    <n v="3000"/>
    <n v="580000"/>
    <n v="145000"/>
  </r>
  <r>
    <d v="2020-09-09T00:00:00"/>
    <x v="0"/>
    <x v="2"/>
    <x v="5"/>
    <x v="15"/>
    <n v="600"/>
    <n v="400"/>
    <n v="49800"/>
    <n v="16600"/>
  </r>
  <r>
    <d v="2021-08-13T00:00:00"/>
    <x v="4"/>
    <x v="2"/>
    <x v="3"/>
    <x v="3"/>
    <n v="1000"/>
    <n v="700"/>
    <n v="91000"/>
    <n v="27300"/>
  </r>
  <r>
    <d v="2020-08-27T00:00:00"/>
    <x v="5"/>
    <x v="0"/>
    <x v="6"/>
    <x v="16"/>
    <n v="10000"/>
    <n v="7000"/>
    <n v="1080000"/>
    <n v="324000"/>
  </r>
  <r>
    <d v="2021-04-07T00:00:00"/>
    <x v="2"/>
    <x v="3"/>
    <x v="4"/>
    <x v="17"/>
    <n v="4000"/>
    <n v="3000"/>
    <n v="576000"/>
    <n v="144000"/>
  </r>
  <r>
    <d v="2020-06-08T00:00:00"/>
    <x v="4"/>
    <x v="2"/>
    <x v="5"/>
    <x v="18"/>
    <n v="600"/>
    <n v="400"/>
    <n v="55200"/>
    <n v="18400"/>
  </r>
  <r>
    <d v="2021-12-21T00:00:00"/>
    <x v="7"/>
    <x v="0"/>
    <x v="0"/>
    <x v="19"/>
    <n v="6000"/>
    <n v="4000"/>
    <n v="426000"/>
    <n v="142000"/>
  </r>
  <r>
    <d v="2021-08-10T00:00:00"/>
    <x v="0"/>
    <x v="1"/>
    <x v="5"/>
    <x v="20"/>
    <n v="600"/>
    <n v="400"/>
    <n v="61800"/>
    <n v="20600"/>
  </r>
  <r>
    <d v="2021-12-02T00:00:00"/>
    <x v="9"/>
    <x v="3"/>
    <x v="3"/>
    <x v="10"/>
    <n v="1000"/>
    <n v="700"/>
    <n v="55000"/>
    <n v="16500"/>
  </r>
  <r>
    <d v="2021-08-30T00:00:00"/>
    <x v="5"/>
    <x v="1"/>
    <x v="4"/>
    <x v="21"/>
    <n v="4000"/>
    <n v="3000"/>
    <n v="372000"/>
    <n v="93000"/>
  </r>
  <r>
    <d v="2020-05-20T00:00:00"/>
    <x v="2"/>
    <x v="2"/>
    <x v="5"/>
    <x v="22"/>
    <n v="600"/>
    <n v="400"/>
    <n v="85800"/>
    <n v="28600"/>
  </r>
  <r>
    <d v="2021-09-13T00:00:00"/>
    <x v="6"/>
    <x v="0"/>
    <x v="1"/>
    <x v="22"/>
    <n v="3500"/>
    <n v="2500"/>
    <n v="500500"/>
    <n v="143000"/>
  </r>
  <r>
    <d v="2021-10-27T00:00:00"/>
    <x v="8"/>
    <x v="3"/>
    <x v="5"/>
    <x v="23"/>
    <n v="600"/>
    <n v="400"/>
    <n v="59400"/>
    <n v="19800"/>
  </r>
  <r>
    <d v="2020-12-22T00:00:00"/>
    <x v="3"/>
    <x v="0"/>
    <x v="3"/>
    <x v="24"/>
    <n v="1000"/>
    <n v="700"/>
    <n v="120000"/>
    <n v="36000"/>
  </r>
  <r>
    <d v="2021-07-28T00:00:00"/>
    <x v="1"/>
    <x v="2"/>
    <x v="1"/>
    <x v="25"/>
    <n v="3500"/>
    <n v="2500"/>
    <n v="231000"/>
    <n v="66000"/>
  </r>
  <r>
    <d v="2020-09-29T00:00:00"/>
    <x v="8"/>
    <x v="3"/>
    <x v="2"/>
    <x v="26"/>
    <n v="1200"/>
    <n v="800"/>
    <n v="105600"/>
    <n v="35200"/>
  </r>
  <r>
    <d v="2020-10-22T00:00:00"/>
    <x v="3"/>
    <x v="1"/>
    <x v="6"/>
    <x v="27"/>
    <n v="10000"/>
    <n v="7000"/>
    <n v="1270000"/>
    <n v="381000"/>
  </r>
  <r>
    <d v="2020-05-19T00:00:00"/>
    <x v="4"/>
    <x v="0"/>
    <x v="4"/>
    <x v="28"/>
    <n v="4000"/>
    <n v="3000"/>
    <n v="268000"/>
    <n v="67000"/>
  </r>
  <r>
    <d v="2021-12-06T00:00:00"/>
    <x v="1"/>
    <x v="1"/>
    <x v="2"/>
    <x v="28"/>
    <n v="1200"/>
    <n v="800"/>
    <n v="80400"/>
    <n v="26800"/>
  </r>
  <r>
    <d v="2020-08-26T00:00:00"/>
    <x v="9"/>
    <x v="2"/>
    <x v="3"/>
    <x v="29"/>
    <n v="1000"/>
    <n v="700"/>
    <n v="149000"/>
    <n v="44700"/>
  </r>
  <r>
    <d v="2021-07-01T00:00:00"/>
    <x v="4"/>
    <x v="3"/>
    <x v="5"/>
    <x v="30"/>
    <n v="600"/>
    <n v="400"/>
    <n v="62400"/>
    <n v="20800"/>
  </r>
  <r>
    <d v="2021-07-27T00:00:00"/>
    <x v="7"/>
    <x v="0"/>
    <x v="5"/>
    <x v="31"/>
    <n v="600"/>
    <n v="400"/>
    <n v="34200"/>
    <n v="11400"/>
  </r>
  <r>
    <d v="2020-10-05T00:00:00"/>
    <x v="2"/>
    <x v="1"/>
    <x v="5"/>
    <x v="32"/>
    <n v="600"/>
    <n v="400"/>
    <n v="54000"/>
    <n v="18000"/>
  </r>
  <r>
    <d v="2020-09-02T00:00:00"/>
    <x v="5"/>
    <x v="2"/>
    <x v="5"/>
    <x v="28"/>
    <n v="600"/>
    <n v="400"/>
    <n v="40200"/>
    <n v="13400"/>
  </r>
  <r>
    <d v="2021-09-02T00:00:00"/>
    <x v="0"/>
    <x v="3"/>
    <x v="4"/>
    <x v="27"/>
    <n v="4000"/>
    <n v="3000"/>
    <n v="508000"/>
    <n v="127000"/>
  </r>
  <r>
    <d v="2021-04-13T00:00:00"/>
    <x v="5"/>
    <x v="0"/>
    <x v="3"/>
    <x v="16"/>
    <n v="1000"/>
    <n v="700"/>
    <n v="108000"/>
    <n v="32400"/>
  </r>
  <r>
    <d v="2021-05-06T00:00:00"/>
    <x v="2"/>
    <x v="1"/>
    <x v="1"/>
    <x v="25"/>
    <n v="3500"/>
    <n v="2500"/>
    <n v="231000"/>
    <n v="66000"/>
  </r>
  <r>
    <d v="2021-01-15T00:00:00"/>
    <x v="0"/>
    <x v="3"/>
    <x v="0"/>
    <x v="6"/>
    <n v="6000"/>
    <n v="4000"/>
    <n v="468000"/>
    <n v="156000"/>
  </r>
  <r>
    <d v="2020-08-27T00:00:00"/>
    <x v="7"/>
    <x v="2"/>
    <x v="3"/>
    <x v="33"/>
    <n v="1000"/>
    <n v="700"/>
    <n v="69000"/>
    <n v="20700"/>
  </r>
  <r>
    <d v="2021-02-05T00:00:00"/>
    <x v="4"/>
    <x v="0"/>
    <x v="2"/>
    <x v="34"/>
    <n v="1200"/>
    <n v="800"/>
    <n v="70800"/>
    <n v="23600"/>
  </r>
  <r>
    <d v="2021-11-17T00:00:00"/>
    <x v="9"/>
    <x v="2"/>
    <x v="5"/>
    <x v="35"/>
    <n v="600"/>
    <n v="400"/>
    <n v="65400"/>
    <n v="21800"/>
  </r>
  <r>
    <d v="2020-12-28T00:00:00"/>
    <x v="8"/>
    <x v="1"/>
    <x v="4"/>
    <x v="36"/>
    <n v="4000"/>
    <n v="3000"/>
    <n v="244000"/>
    <n v="61000"/>
  </r>
  <r>
    <d v="2021-10-27T00:00:00"/>
    <x v="4"/>
    <x v="3"/>
    <x v="5"/>
    <x v="37"/>
    <n v="600"/>
    <n v="400"/>
    <n v="78000"/>
    <n v="26000"/>
  </r>
  <r>
    <d v="2021-11-02T00:00:00"/>
    <x v="3"/>
    <x v="2"/>
    <x v="1"/>
    <x v="38"/>
    <n v="3500"/>
    <n v="2500"/>
    <n v="210000"/>
    <n v="60000"/>
  </r>
  <r>
    <d v="2020-05-07T00:00:00"/>
    <x v="1"/>
    <x v="1"/>
    <x v="0"/>
    <x v="39"/>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4A58A9-89DB-4415-B681-9963C6D336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J3:K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1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5"/>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5"/>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3" count="1" selected="0">
            <x v="5"/>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3" count="1" selected="0">
            <x v="5"/>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3" count="1" selected="0">
            <x v="5"/>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1AC0C8-8AF4-4158-8D67-072A07ABD5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8EE7E-CD3D-45A3-A2DE-8E63E35078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E6741D-7E04-4038-9A76-6D1D679EEE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sortType="ascending">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C639DEC-D6D2-4FF6-B203-9A6C97C98519}" sourceName="Sales Person">
  <pivotTables>
    <pivotTable tabId="3" name="PivotTable1"/>
    <pivotTable tabId="3" name="PivotTable2"/>
    <pivotTable tabId="3" name="PivotTable3"/>
    <pivotTable tabId="3" name="PivotTable4"/>
  </pivotTables>
  <data>
    <tabular pivotCacheId="125917331">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488F7C-A093-4639-862D-EF8D2C1CEDD1}" sourceName="Region">
  <pivotTables>
    <pivotTable tabId="3" name="PivotTable1"/>
    <pivotTable tabId="3" name="PivotTable2"/>
    <pivotTable tabId="3" name="PivotTable3"/>
    <pivotTable tabId="3" name="PivotTable4"/>
  </pivotTables>
  <data>
    <tabular pivotCacheId="125917331">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1CD96F-28A7-410F-A662-52AB479D8781}" sourceName="Product">
  <pivotTables>
    <pivotTable tabId="3" name="PivotTable1"/>
    <pivotTable tabId="3" name="PivotTable2"/>
    <pivotTable tabId="3" name="PivotTable3"/>
    <pivotTable tabId="3" name="PivotTable4"/>
  </pivotTables>
  <data>
    <tabular pivotCacheId="125917331">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54101574-B170-4564-B4D0-8FDF51C17D29}" cache="Slicer_Sales_Person" caption="Sales Person" rowHeight="257175"/>
  <slicer name="Region" xr10:uid="{0267A26E-EC2F-4F7C-9C60-5CA9D5FC96AC}" cache="Slicer_Region" caption="Region" columnCount="2" showCaption="0" rowHeight="257175"/>
  <slicer name="Product" xr10:uid="{882CE904-4543-4338-BA95-CE777BD898FE}" cache="Slicer_Product" caption="Produc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8E217C01-63E8-4DCC-A72B-D7EBD912B17B}" cache="Slicer_Sales_Person" caption="Sales Person" style="SlicerStyleDark1" rowHeight="257175"/>
  <slicer name="Region 1" xr10:uid="{B82C11AC-B05A-49FD-9B0F-58C5AAC2CFF4}" cache="Slicer_Region" caption="Region" columnCount="2" showCaption="0" style="SlicerStyleDark1" rowHeight="257175"/>
  <slicer name="Product 1" xr10:uid="{329CA35D-8334-4330-807D-94A44542AF5F}" cache="Slicer_Product" caption="Product"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F72547-076F-4B0A-A36A-B308747E660B}" name="Table1" displayName="Table1" ref="A1:I51" totalsRowShown="0" headerRowDxfId="11" dataDxfId="10" tableBorderDxfId="9">
  <autoFilter ref="A1:I51" xr:uid="{32F72547-076F-4B0A-A36A-B308747E660B}"/>
  <tableColumns count="9">
    <tableColumn id="1" xr3:uid="{34B43A5D-7E4B-46F3-BF40-05C57190000B}" name="Date" dataDxfId="8"/>
    <tableColumn id="2" xr3:uid="{9F9D0F22-3B08-497F-972D-BB2BD154D63A}" name="Sales Person" dataDxfId="7"/>
    <tableColumn id="3" xr3:uid="{7F93D726-4685-4EBF-8635-8722B98B9C13}" name="Region" dataDxfId="6"/>
    <tableColumn id="4" xr3:uid="{F8743508-8B72-4F93-B695-539E8CCA05FF}" name="Product" dataDxfId="5"/>
    <tableColumn id="5" xr3:uid="{EAF6C142-2351-4542-A3E1-C0FA4194F752}" name="Units Sold" dataDxfId="4"/>
    <tableColumn id="6" xr3:uid="{3029CC6E-8CA2-4600-B67F-A1CD63FC060F}" name="Unit Price" dataDxfId="3"/>
    <tableColumn id="7" xr3:uid="{B0482C9F-AC63-425E-A1DA-9F4337750BE4}" name="Cost of Goods" dataDxfId="2"/>
    <tableColumn id="8" xr3:uid="{43D656AA-03EA-4F9B-9EC7-2F4B45B78E10}" name="Total Sales" dataDxfId="1"/>
    <tableColumn id="9" xr3:uid="{8E4C34C7-FD4B-41CF-9A08-074EEEC00288}"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B66DC-CAAE-4CFC-B0E2-0E0831DD1BDA}">
  <dimension ref="A3:K14"/>
  <sheetViews>
    <sheetView topLeftCell="A2" workbookViewId="0">
      <selection activeCell="E17" sqref="E17"/>
    </sheetView>
  </sheetViews>
  <sheetFormatPr defaultRowHeight="15" x14ac:dyDescent="0.25"/>
  <cols>
    <col min="1" max="1" width="13.42578125" bestFit="1" customWidth="1"/>
    <col min="2" max="2" width="17.7109375" bestFit="1" customWidth="1"/>
    <col min="4" max="4" width="13.42578125" bestFit="1" customWidth="1"/>
    <col min="5" max="5" width="17.7109375" bestFit="1" customWidth="1"/>
    <col min="7" max="7" width="13.42578125" bestFit="1" customWidth="1"/>
    <col min="8" max="8" width="17.7109375" bestFit="1" customWidth="1"/>
    <col min="9" max="9" width="5.42578125" customWidth="1"/>
    <col min="10" max="10" width="13.42578125" bestFit="1" customWidth="1"/>
    <col min="11" max="11" width="17" bestFit="1" customWidth="1"/>
  </cols>
  <sheetData>
    <row r="3" spans="1:11" x14ac:dyDescent="0.25">
      <c r="A3" s="16" t="s">
        <v>34</v>
      </c>
      <c r="B3" t="s">
        <v>35</v>
      </c>
      <c r="D3" s="16" t="s">
        <v>34</v>
      </c>
      <c r="E3" t="s">
        <v>35</v>
      </c>
      <c r="G3" s="16" t="s">
        <v>34</v>
      </c>
      <c r="H3" t="s">
        <v>35</v>
      </c>
      <c r="J3" s="16" t="s">
        <v>34</v>
      </c>
      <c r="K3" t="s">
        <v>36</v>
      </c>
    </row>
    <row r="4" spans="1:11" x14ac:dyDescent="0.25">
      <c r="A4" s="17" t="s">
        <v>4</v>
      </c>
      <c r="B4" s="7">
        <v>3534400</v>
      </c>
      <c r="D4" s="17" t="s">
        <v>8</v>
      </c>
      <c r="E4" s="7">
        <v>547200</v>
      </c>
      <c r="G4" s="17" t="s">
        <v>0</v>
      </c>
      <c r="H4" s="7">
        <v>1591600</v>
      </c>
      <c r="J4" s="17" t="s">
        <v>8</v>
      </c>
      <c r="K4" s="19">
        <v>456</v>
      </c>
    </row>
    <row r="5" spans="1:11" x14ac:dyDescent="0.25">
      <c r="A5" s="17" t="s">
        <v>10</v>
      </c>
      <c r="B5" s="7">
        <v>2661400</v>
      </c>
      <c r="D5" s="17" t="s">
        <v>5</v>
      </c>
      <c r="E5" s="7">
        <v>2222500</v>
      </c>
      <c r="G5" s="17" t="s">
        <v>17</v>
      </c>
      <c r="H5" s="7">
        <v>677600</v>
      </c>
      <c r="J5" s="17" t="s">
        <v>5</v>
      </c>
      <c r="K5" s="19">
        <v>635</v>
      </c>
    </row>
    <row r="6" spans="1:11" x14ac:dyDescent="0.25">
      <c r="A6" s="17" t="s">
        <v>7</v>
      </c>
      <c r="B6" s="7">
        <v>2870600</v>
      </c>
      <c r="D6" s="17" t="s">
        <v>18</v>
      </c>
      <c r="E6" s="7">
        <v>706800</v>
      </c>
      <c r="G6" s="17" t="s">
        <v>9</v>
      </c>
      <c r="H6" s="7">
        <v>1957000</v>
      </c>
      <c r="J6" s="17" t="s">
        <v>18</v>
      </c>
      <c r="K6" s="19">
        <v>1178</v>
      </c>
    </row>
    <row r="7" spans="1:11" x14ac:dyDescent="0.25">
      <c r="A7" s="17" t="s">
        <v>1</v>
      </c>
      <c r="B7" s="7">
        <v>3878100</v>
      </c>
      <c r="D7" s="17" t="s">
        <v>11</v>
      </c>
      <c r="E7" s="7">
        <v>898000</v>
      </c>
      <c r="G7" s="17" t="s">
        <v>14</v>
      </c>
      <c r="H7" s="7">
        <v>1661400</v>
      </c>
      <c r="J7" s="17" t="s">
        <v>11</v>
      </c>
      <c r="K7" s="19">
        <v>898</v>
      </c>
    </row>
    <row r="8" spans="1:11" x14ac:dyDescent="0.25">
      <c r="A8" s="17" t="s">
        <v>30</v>
      </c>
      <c r="B8" s="7">
        <v>12944500</v>
      </c>
      <c r="D8" s="17" t="s">
        <v>20</v>
      </c>
      <c r="E8" s="7">
        <v>2350000</v>
      </c>
      <c r="G8" s="17" t="s">
        <v>16</v>
      </c>
      <c r="H8" s="7">
        <v>1741200</v>
      </c>
      <c r="J8" s="17" t="s">
        <v>20</v>
      </c>
      <c r="K8" s="19">
        <v>235</v>
      </c>
    </row>
    <row r="9" spans="1:11" x14ac:dyDescent="0.25">
      <c r="D9" s="17" t="s">
        <v>13</v>
      </c>
      <c r="E9" s="7">
        <v>3196000</v>
      </c>
      <c r="G9" s="17" t="s">
        <v>6</v>
      </c>
      <c r="H9" s="7">
        <v>1110000</v>
      </c>
      <c r="J9" s="17" t="s">
        <v>13</v>
      </c>
      <c r="K9" s="19">
        <v>799</v>
      </c>
    </row>
    <row r="10" spans="1:11" x14ac:dyDescent="0.25">
      <c r="D10" s="17" t="s">
        <v>2</v>
      </c>
      <c r="E10" s="7">
        <v>3024000</v>
      </c>
      <c r="G10" s="17" t="s">
        <v>3</v>
      </c>
      <c r="H10" s="7">
        <v>1777400</v>
      </c>
      <c r="J10" s="17" t="s">
        <v>2</v>
      </c>
      <c r="K10" s="19">
        <v>504</v>
      </c>
    </row>
    <row r="11" spans="1:11" x14ac:dyDescent="0.25">
      <c r="D11" s="17" t="s">
        <v>30</v>
      </c>
      <c r="E11" s="7">
        <v>12944500</v>
      </c>
      <c r="G11" s="17" t="s">
        <v>12</v>
      </c>
      <c r="H11" s="7">
        <v>1065400</v>
      </c>
      <c r="J11" s="17" t="s">
        <v>30</v>
      </c>
      <c r="K11" s="19">
        <v>4705</v>
      </c>
    </row>
    <row r="12" spans="1:11" x14ac:dyDescent="0.25">
      <c r="G12" s="17" t="s">
        <v>19</v>
      </c>
      <c r="H12" s="7">
        <v>784400</v>
      </c>
    </row>
    <row r="13" spans="1:11" x14ac:dyDescent="0.25">
      <c r="G13" s="17" t="s">
        <v>15</v>
      </c>
      <c r="H13" s="7">
        <v>578500</v>
      </c>
    </row>
    <row r="14" spans="1:11" x14ac:dyDescent="0.25">
      <c r="G14" s="17" t="s">
        <v>30</v>
      </c>
      <c r="H14" s="7">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85CF-41BA-4D35-AD2D-3A6F0CE4AD49}">
  <dimension ref="A1"/>
  <sheetViews>
    <sheetView showGridLines="0" showRowColHeaders="0" zoomScale="60" zoomScaleNormal="60" workbookViewId="0">
      <selection activeCell="AA27" sqref="AA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22EEE-F324-4279-AB14-75240444E174}">
  <dimension ref="A1:L51"/>
  <sheetViews>
    <sheetView tabSelected="1" topLeftCell="B1" zoomScale="130" zoomScaleNormal="130" workbookViewId="0">
      <selection activeCell="I51" sqref="I51"/>
    </sheetView>
  </sheetViews>
  <sheetFormatPr defaultRowHeight="15" x14ac:dyDescent="0.25"/>
  <cols>
    <col min="1" max="1" width="11.7109375" customWidth="1"/>
    <col min="2" max="2" width="13.5703125" customWidth="1"/>
    <col min="3" max="3" width="8.42578125" customWidth="1"/>
    <col min="4" max="4" width="12.42578125" customWidth="1"/>
    <col min="5" max="5" width="11.140625" customWidth="1"/>
    <col min="6" max="6" width="14.7109375" customWidth="1"/>
    <col min="7" max="7" width="16.140625" customWidth="1"/>
    <col min="8" max="8" width="18.140625" customWidth="1"/>
    <col min="9" max="9" width="15.28515625" customWidth="1"/>
    <col min="12" max="12" width="14.5703125" customWidth="1"/>
  </cols>
  <sheetData>
    <row r="1" spans="1:12" ht="32.1" customHeight="1" x14ac:dyDescent="0.25">
      <c r="A1" s="8" t="s">
        <v>21</v>
      </c>
      <c r="B1" s="1" t="s">
        <v>22</v>
      </c>
      <c r="C1" s="1" t="s">
        <v>23</v>
      </c>
      <c r="D1" s="1" t="s">
        <v>24</v>
      </c>
      <c r="E1" s="1" t="s">
        <v>25</v>
      </c>
      <c r="F1" s="1" t="s">
        <v>26</v>
      </c>
      <c r="G1" s="1" t="s">
        <v>27</v>
      </c>
      <c r="H1" s="1" t="s">
        <v>28</v>
      </c>
      <c r="I1" s="10" t="s">
        <v>29</v>
      </c>
      <c r="L1" s="4" t="s">
        <v>30</v>
      </c>
    </row>
    <row r="2" spans="1:12" x14ac:dyDescent="0.25">
      <c r="A2" s="9">
        <v>44246</v>
      </c>
      <c r="B2" s="2" t="s">
        <v>0</v>
      </c>
      <c r="C2" s="2" t="s">
        <v>1</v>
      </c>
      <c r="D2" s="2" t="s">
        <v>2</v>
      </c>
      <c r="E2" s="2">
        <v>84</v>
      </c>
      <c r="F2" s="3">
        <v>6000</v>
      </c>
      <c r="G2" s="3">
        <v>4000</v>
      </c>
      <c r="H2" s="3">
        <v>504000</v>
      </c>
      <c r="I2" s="11">
        <f>H2-(G2*E2)</f>
        <v>168000</v>
      </c>
      <c r="L2" s="7">
        <f>SUM(H2:H51)</f>
        <v>12944500</v>
      </c>
    </row>
    <row r="3" spans="1:12" x14ac:dyDescent="0.25">
      <c r="A3" s="9">
        <v>44446</v>
      </c>
      <c r="B3" s="2" t="s">
        <v>3</v>
      </c>
      <c r="C3" s="2" t="s">
        <v>4</v>
      </c>
      <c r="D3" s="2" t="s">
        <v>5</v>
      </c>
      <c r="E3" s="2">
        <v>128</v>
      </c>
      <c r="F3" s="3">
        <v>3500</v>
      </c>
      <c r="G3" s="3">
        <v>2500</v>
      </c>
      <c r="H3" s="3">
        <v>448000</v>
      </c>
      <c r="I3" s="11">
        <f t="shared" ref="I3:I51" si="0">H3-(G3*E3)</f>
        <v>128000</v>
      </c>
      <c r="L3" s="6" t="s">
        <v>31</v>
      </c>
    </row>
    <row r="4" spans="1:12" x14ac:dyDescent="0.25">
      <c r="A4" s="9">
        <v>44230</v>
      </c>
      <c r="B4" s="2" t="s">
        <v>6</v>
      </c>
      <c r="C4" s="2" t="s">
        <v>7</v>
      </c>
      <c r="D4" s="2" t="s">
        <v>8</v>
      </c>
      <c r="E4" s="2">
        <v>136</v>
      </c>
      <c r="F4" s="3">
        <v>1200</v>
      </c>
      <c r="G4" s="3">
        <v>800</v>
      </c>
      <c r="H4" s="3">
        <v>163200</v>
      </c>
      <c r="I4" s="11">
        <f t="shared" si="0"/>
        <v>54400</v>
      </c>
      <c r="L4" s="18">
        <f>SUM(E2:E51)</f>
        <v>4705</v>
      </c>
    </row>
    <row r="5" spans="1:12" x14ac:dyDescent="0.25">
      <c r="A5" s="9">
        <v>44085</v>
      </c>
      <c r="B5" s="2" t="s">
        <v>9</v>
      </c>
      <c r="C5" s="2" t="s">
        <v>10</v>
      </c>
      <c r="D5" s="2" t="s">
        <v>11</v>
      </c>
      <c r="E5" s="2">
        <v>91</v>
      </c>
      <c r="F5" s="3">
        <v>1000</v>
      </c>
      <c r="G5" s="3">
        <v>700</v>
      </c>
      <c r="H5" s="3">
        <v>91000</v>
      </c>
      <c r="I5" s="11">
        <f t="shared" si="0"/>
        <v>27300</v>
      </c>
      <c r="L5" s="5" t="s">
        <v>32</v>
      </c>
    </row>
    <row r="6" spans="1:12" x14ac:dyDescent="0.25">
      <c r="A6" s="9">
        <v>44462</v>
      </c>
      <c r="B6" s="2" t="s">
        <v>12</v>
      </c>
      <c r="C6" s="2" t="s">
        <v>1</v>
      </c>
      <c r="D6" s="2" t="s">
        <v>13</v>
      </c>
      <c r="E6" s="2">
        <v>110</v>
      </c>
      <c r="F6" s="3">
        <v>4000</v>
      </c>
      <c r="G6" s="3">
        <v>3000</v>
      </c>
      <c r="H6" s="3">
        <v>440000</v>
      </c>
      <c r="I6" s="11">
        <f t="shared" si="0"/>
        <v>110000</v>
      </c>
      <c r="L6" s="7">
        <f>SUM(I2:I51)</f>
        <v>3834400</v>
      </c>
    </row>
    <row r="7" spans="1:12" x14ac:dyDescent="0.25">
      <c r="A7" s="9">
        <v>44105</v>
      </c>
      <c r="B7" s="2" t="s">
        <v>14</v>
      </c>
      <c r="C7" s="2" t="s">
        <v>4</v>
      </c>
      <c r="D7" s="2" t="s">
        <v>8</v>
      </c>
      <c r="E7" s="2">
        <v>51</v>
      </c>
      <c r="F7" s="3">
        <v>1200</v>
      </c>
      <c r="G7" s="3">
        <v>800</v>
      </c>
      <c r="H7" s="3">
        <v>61200</v>
      </c>
      <c r="I7" s="11">
        <f t="shared" si="0"/>
        <v>20400</v>
      </c>
      <c r="L7" s="5" t="s">
        <v>33</v>
      </c>
    </row>
    <row r="8" spans="1:12" x14ac:dyDescent="0.25">
      <c r="A8" s="9">
        <v>44413</v>
      </c>
      <c r="B8" s="2" t="s">
        <v>15</v>
      </c>
      <c r="C8" s="2" t="s">
        <v>10</v>
      </c>
      <c r="D8" s="2" t="s">
        <v>11</v>
      </c>
      <c r="E8" s="2">
        <v>78</v>
      </c>
      <c r="F8" s="3">
        <v>1000</v>
      </c>
      <c r="G8" s="3">
        <v>700</v>
      </c>
      <c r="H8" s="3">
        <v>78000</v>
      </c>
      <c r="I8" s="11">
        <f t="shared" si="0"/>
        <v>23400</v>
      </c>
      <c r="L8" s="7">
        <f>AVERAGE(H2:H51)</f>
        <v>258890</v>
      </c>
    </row>
    <row r="9" spans="1:12" x14ac:dyDescent="0.25">
      <c r="A9" s="9">
        <v>44141</v>
      </c>
      <c r="B9" s="2" t="s">
        <v>16</v>
      </c>
      <c r="C9" s="2" t="s">
        <v>7</v>
      </c>
      <c r="D9" s="2" t="s">
        <v>2</v>
      </c>
      <c r="E9" s="2">
        <v>146</v>
      </c>
      <c r="F9" s="3">
        <v>6000</v>
      </c>
      <c r="G9" s="3">
        <v>4000</v>
      </c>
      <c r="H9" s="3">
        <v>876000</v>
      </c>
      <c r="I9" s="11">
        <f t="shared" si="0"/>
        <v>292000</v>
      </c>
    </row>
    <row r="10" spans="1:12" x14ac:dyDescent="0.25">
      <c r="A10" s="9">
        <v>44223</v>
      </c>
      <c r="B10" s="2" t="s">
        <v>17</v>
      </c>
      <c r="C10" s="2" t="s">
        <v>1</v>
      </c>
      <c r="D10" s="2" t="s">
        <v>18</v>
      </c>
      <c r="E10" s="2">
        <v>101</v>
      </c>
      <c r="F10" s="3">
        <v>600</v>
      </c>
      <c r="G10" s="3">
        <v>400</v>
      </c>
      <c r="H10" s="3">
        <v>60600</v>
      </c>
      <c r="I10" s="11">
        <f t="shared" si="0"/>
        <v>20200</v>
      </c>
    </row>
    <row r="11" spans="1:12" x14ac:dyDescent="0.25">
      <c r="A11" s="9">
        <v>44442</v>
      </c>
      <c r="B11" s="2" t="s">
        <v>19</v>
      </c>
      <c r="C11" s="2" t="s">
        <v>7</v>
      </c>
      <c r="D11" s="2" t="s">
        <v>2</v>
      </c>
      <c r="E11" s="2">
        <v>52</v>
      </c>
      <c r="F11" s="3">
        <v>6000</v>
      </c>
      <c r="G11" s="3">
        <v>4000</v>
      </c>
      <c r="H11" s="3">
        <v>312000</v>
      </c>
      <c r="I11" s="11">
        <f t="shared" si="0"/>
        <v>104000</v>
      </c>
    </row>
    <row r="12" spans="1:12" x14ac:dyDescent="0.25">
      <c r="A12" s="9">
        <v>44469</v>
      </c>
      <c r="B12" s="2" t="s">
        <v>19</v>
      </c>
      <c r="C12" s="2" t="s">
        <v>4</v>
      </c>
      <c r="D12" s="2" t="s">
        <v>8</v>
      </c>
      <c r="E12" s="2">
        <v>55</v>
      </c>
      <c r="F12" s="3">
        <v>1200</v>
      </c>
      <c r="G12" s="3">
        <v>800</v>
      </c>
      <c r="H12" s="3">
        <v>66000</v>
      </c>
      <c r="I12" s="11">
        <f t="shared" si="0"/>
        <v>22000</v>
      </c>
    </row>
    <row r="13" spans="1:12" x14ac:dyDescent="0.25">
      <c r="A13" s="9">
        <v>44084</v>
      </c>
      <c r="B13" s="2" t="s">
        <v>19</v>
      </c>
      <c r="C13" s="2" t="s">
        <v>7</v>
      </c>
      <c r="D13" s="2" t="s">
        <v>11</v>
      </c>
      <c r="E13" s="2">
        <v>137</v>
      </c>
      <c r="F13" s="3">
        <v>1000</v>
      </c>
      <c r="G13" s="3">
        <v>700</v>
      </c>
      <c r="H13" s="3">
        <v>137000</v>
      </c>
      <c r="I13" s="11">
        <f t="shared" si="0"/>
        <v>41100</v>
      </c>
    </row>
    <row r="14" spans="1:12" x14ac:dyDescent="0.25">
      <c r="A14" s="9">
        <v>44404</v>
      </c>
      <c r="B14" s="2" t="s">
        <v>16</v>
      </c>
      <c r="C14" s="2" t="s">
        <v>7</v>
      </c>
      <c r="D14" s="2" t="s">
        <v>5</v>
      </c>
      <c r="E14" s="2">
        <v>96</v>
      </c>
      <c r="F14" s="3">
        <v>3500</v>
      </c>
      <c r="G14" s="3">
        <v>2500</v>
      </c>
      <c r="H14" s="3">
        <v>336000</v>
      </c>
      <c r="I14" s="11">
        <f t="shared" si="0"/>
        <v>96000</v>
      </c>
    </row>
    <row r="15" spans="1:12" x14ac:dyDescent="0.25">
      <c r="A15" s="9">
        <v>44113</v>
      </c>
      <c r="B15" s="2" t="s">
        <v>17</v>
      </c>
      <c r="C15" s="2" t="s">
        <v>4</v>
      </c>
      <c r="D15" s="2" t="s">
        <v>13</v>
      </c>
      <c r="E15" s="2">
        <v>52</v>
      </c>
      <c r="F15" s="3">
        <v>4000</v>
      </c>
      <c r="G15" s="3">
        <v>3000</v>
      </c>
      <c r="H15" s="3">
        <v>208000</v>
      </c>
      <c r="I15" s="11">
        <f t="shared" si="0"/>
        <v>52000</v>
      </c>
    </row>
    <row r="16" spans="1:12" x14ac:dyDescent="0.25">
      <c r="A16" s="9">
        <v>44292</v>
      </c>
      <c r="B16" s="2" t="s">
        <v>9</v>
      </c>
      <c r="C16" s="2" t="s">
        <v>1</v>
      </c>
      <c r="D16" s="2" t="s">
        <v>5</v>
      </c>
      <c r="E16" s="2">
        <v>76</v>
      </c>
      <c r="F16" s="3">
        <v>3500</v>
      </c>
      <c r="G16" s="3">
        <v>2500</v>
      </c>
      <c r="H16" s="3">
        <v>266000</v>
      </c>
      <c r="I16" s="11">
        <f t="shared" si="0"/>
        <v>76000</v>
      </c>
    </row>
    <row r="17" spans="1:9" x14ac:dyDescent="0.25">
      <c r="A17" s="9">
        <v>44362</v>
      </c>
      <c r="B17" s="2" t="s">
        <v>3</v>
      </c>
      <c r="C17" s="2" t="s">
        <v>10</v>
      </c>
      <c r="D17" s="2" t="s">
        <v>13</v>
      </c>
      <c r="E17" s="2">
        <v>145</v>
      </c>
      <c r="F17" s="3">
        <v>4000</v>
      </c>
      <c r="G17" s="3">
        <v>3000</v>
      </c>
      <c r="H17" s="3">
        <v>580000</v>
      </c>
      <c r="I17" s="11">
        <f t="shared" si="0"/>
        <v>145000</v>
      </c>
    </row>
    <row r="18" spans="1:9" x14ac:dyDescent="0.25">
      <c r="A18" s="9">
        <v>44083</v>
      </c>
      <c r="B18" s="2" t="s">
        <v>0</v>
      </c>
      <c r="C18" s="2" t="s">
        <v>7</v>
      </c>
      <c r="D18" s="2" t="s">
        <v>18</v>
      </c>
      <c r="E18" s="2">
        <v>83</v>
      </c>
      <c r="F18" s="3">
        <v>600</v>
      </c>
      <c r="G18" s="3">
        <v>400</v>
      </c>
      <c r="H18" s="3">
        <v>49800</v>
      </c>
      <c r="I18" s="11">
        <f t="shared" si="0"/>
        <v>16600</v>
      </c>
    </row>
    <row r="19" spans="1:9" x14ac:dyDescent="0.25">
      <c r="A19" s="9">
        <v>44421</v>
      </c>
      <c r="B19" s="2" t="s">
        <v>12</v>
      </c>
      <c r="C19" s="2" t="s">
        <v>7</v>
      </c>
      <c r="D19" s="2" t="s">
        <v>11</v>
      </c>
      <c r="E19" s="2">
        <v>91</v>
      </c>
      <c r="F19" s="3">
        <v>1000</v>
      </c>
      <c r="G19" s="3">
        <v>700</v>
      </c>
      <c r="H19" s="3">
        <v>91000</v>
      </c>
      <c r="I19" s="11">
        <f t="shared" si="0"/>
        <v>27300</v>
      </c>
    </row>
    <row r="20" spans="1:9" x14ac:dyDescent="0.25">
      <c r="A20" s="9">
        <v>44070</v>
      </c>
      <c r="B20" s="2" t="s">
        <v>14</v>
      </c>
      <c r="C20" s="2" t="s">
        <v>1</v>
      </c>
      <c r="D20" s="2" t="s">
        <v>20</v>
      </c>
      <c r="E20" s="2">
        <v>108</v>
      </c>
      <c r="F20" s="3">
        <v>10000</v>
      </c>
      <c r="G20" s="3">
        <v>7000</v>
      </c>
      <c r="H20" s="3">
        <v>1080000</v>
      </c>
      <c r="I20" s="11">
        <f t="shared" si="0"/>
        <v>324000</v>
      </c>
    </row>
    <row r="21" spans="1:9" x14ac:dyDescent="0.25">
      <c r="A21" s="9">
        <v>44293</v>
      </c>
      <c r="B21" s="2" t="s">
        <v>6</v>
      </c>
      <c r="C21" s="2" t="s">
        <v>10</v>
      </c>
      <c r="D21" s="2" t="s">
        <v>13</v>
      </c>
      <c r="E21" s="2">
        <v>144</v>
      </c>
      <c r="F21" s="3">
        <v>4000</v>
      </c>
      <c r="G21" s="3">
        <v>3000</v>
      </c>
      <c r="H21" s="3">
        <v>576000</v>
      </c>
      <c r="I21" s="11">
        <f t="shared" si="0"/>
        <v>144000</v>
      </c>
    </row>
    <row r="22" spans="1:9" x14ac:dyDescent="0.25">
      <c r="A22" s="9">
        <v>43990</v>
      </c>
      <c r="B22" s="2" t="s">
        <v>12</v>
      </c>
      <c r="C22" s="2" t="s">
        <v>7</v>
      </c>
      <c r="D22" s="2" t="s">
        <v>18</v>
      </c>
      <c r="E22" s="2">
        <v>92</v>
      </c>
      <c r="F22" s="3">
        <v>600</v>
      </c>
      <c r="G22" s="3">
        <v>400</v>
      </c>
      <c r="H22" s="3">
        <v>55200</v>
      </c>
      <c r="I22" s="11">
        <f t="shared" si="0"/>
        <v>18400</v>
      </c>
    </row>
    <row r="23" spans="1:9" x14ac:dyDescent="0.25">
      <c r="A23" s="9">
        <v>44551</v>
      </c>
      <c r="B23" s="2" t="s">
        <v>16</v>
      </c>
      <c r="C23" s="2" t="s">
        <v>1</v>
      </c>
      <c r="D23" s="2" t="s">
        <v>2</v>
      </c>
      <c r="E23" s="2">
        <v>71</v>
      </c>
      <c r="F23" s="3">
        <v>6000</v>
      </c>
      <c r="G23" s="3">
        <v>4000</v>
      </c>
      <c r="H23" s="3">
        <v>426000</v>
      </c>
      <c r="I23" s="11">
        <f t="shared" si="0"/>
        <v>142000</v>
      </c>
    </row>
    <row r="24" spans="1:9" x14ac:dyDescent="0.25">
      <c r="A24" s="9">
        <v>44418</v>
      </c>
      <c r="B24" s="2" t="s">
        <v>0</v>
      </c>
      <c r="C24" s="2" t="s">
        <v>4</v>
      </c>
      <c r="D24" s="2" t="s">
        <v>18</v>
      </c>
      <c r="E24" s="2">
        <v>103</v>
      </c>
      <c r="F24" s="3">
        <v>600</v>
      </c>
      <c r="G24" s="3">
        <v>400</v>
      </c>
      <c r="H24" s="3">
        <v>61800</v>
      </c>
      <c r="I24" s="11">
        <f t="shared" si="0"/>
        <v>20600</v>
      </c>
    </row>
    <row r="25" spans="1:9" x14ac:dyDescent="0.25">
      <c r="A25" s="9">
        <v>44532</v>
      </c>
      <c r="B25" s="2" t="s">
        <v>19</v>
      </c>
      <c r="C25" s="2" t="s">
        <v>10</v>
      </c>
      <c r="D25" s="2" t="s">
        <v>11</v>
      </c>
      <c r="E25" s="2">
        <v>55</v>
      </c>
      <c r="F25" s="3">
        <v>1000</v>
      </c>
      <c r="G25" s="3">
        <v>700</v>
      </c>
      <c r="H25" s="3">
        <v>55000</v>
      </c>
      <c r="I25" s="11">
        <f t="shared" si="0"/>
        <v>16500</v>
      </c>
    </row>
    <row r="26" spans="1:9" x14ac:dyDescent="0.25">
      <c r="A26" s="9">
        <v>44438</v>
      </c>
      <c r="B26" s="2" t="s">
        <v>14</v>
      </c>
      <c r="C26" s="2" t="s">
        <v>4</v>
      </c>
      <c r="D26" s="2" t="s">
        <v>13</v>
      </c>
      <c r="E26" s="2">
        <v>93</v>
      </c>
      <c r="F26" s="3">
        <v>4000</v>
      </c>
      <c r="G26" s="3">
        <v>3000</v>
      </c>
      <c r="H26" s="3">
        <v>372000</v>
      </c>
      <c r="I26" s="11">
        <f t="shared" si="0"/>
        <v>93000</v>
      </c>
    </row>
    <row r="27" spans="1:9" x14ac:dyDescent="0.25">
      <c r="A27" s="9">
        <v>43971</v>
      </c>
      <c r="B27" s="2" t="s">
        <v>6</v>
      </c>
      <c r="C27" s="2" t="s">
        <v>7</v>
      </c>
      <c r="D27" s="2" t="s">
        <v>18</v>
      </c>
      <c r="E27" s="2">
        <v>143</v>
      </c>
      <c r="F27" s="3">
        <v>600</v>
      </c>
      <c r="G27" s="3">
        <v>400</v>
      </c>
      <c r="H27" s="3">
        <v>85800</v>
      </c>
      <c r="I27" s="11">
        <f t="shared" si="0"/>
        <v>28600</v>
      </c>
    </row>
    <row r="28" spans="1:9" x14ac:dyDescent="0.25">
      <c r="A28" s="9">
        <v>44452</v>
      </c>
      <c r="B28" s="2" t="s">
        <v>15</v>
      </c>
      <c r="C28" s="2" t="s">
        <v>1</v>
      </c>
      <c r="D28" s="2" t="s">
        <v>5</v>
      </c>
      <c r="E28" s="2">
        <v>143</v>
      </c>
      <c r="F28" s="3">
        <v>3500</v>
      </c>
      <c r="G28" s="3">
        <v>2500</v>
      </c>
      <c r="H28" s="3">
        <v>500500</v>
      </c>
      <c r="I28" s="11">
        <f t="shared" si="0"/>
        <v>143000</v>
      </c>
    </row>
    <row r="29" spans="1:9" x14ac:dyDescent="0.25">
      <c r="A29" s="9">
        <v>44496</v>
      </c>
      <c r="B29" s="2" t="s">
        <v>17</v>
      </c>
      <c r="C29" s="2" t="s">
        <v>10</v>
      </c>
      <c r="D29" s="2" t="s">
        <v>18</v>
      </c>
      <c r="E29" s="2">
        <v>99</v>
      </c>
      <c r="F29" s="3">
        <v>600</v>
      </c>
      <c r="G29" s="3">
        <v>400</v>
      </c>
      <c r="H29" s="3">
        <v>59400</v>
      </c>
      <c r="I29" s="11">
        <f t="shared" si="0"/>
        <v>19800</v>
      </c>
    </row>
    <row r="30" spans="1:9" x14ac:dyDescent="0.25">
      <c r="A30" s="9">
        <v>44187</v>
      </c>
      <c r="B30" s="2" t="s">
        <v>9</v>
      </c>
      <c r="C30" s="2" t="s">
        <v>1</v>
      </c>
      <c r="D30" s="2" t="s">
        <v>11</v>
      </c>
      <c r="E30" s="2">
        <v>120</v>
      </c>
      <c r="F30" s="3">
        <v>1000</v>
      </c>
      <c r="G30" s="3">
        <v>700</v>
      </c>
      <c r="H30" s="3">
        <v>120000</v>
      </c>
      <c r="I30" s="11">
        <f t="shared" si="0"/>
        <v>36000</v>
      </c>
    </row>
    <row r="31" spans="1:9" x14ac:dyDescent="0.25">
      <c r="A31" s="9">
        <v>44405</v>
      </c>
      <c r="B31" s="2" t="s">
        <v>3</v>
      </c>
      <c r="C31" s="2" t="s">
        <v>7</v>
      </c>
      <c r="D31" s="2" t="s">
        <v>5</v>
      </c>
      <c r="E31" s="2">
        <v>66</v>
      </c>
      <c r="F31" s="3">
        <v>3500</v>
      </c>
      <c r="G31" s="3">
        <v>2500</v>
      </c>
      <c r="H31" s="3">
        <v>231000</v>
      </c>
      <c r="I31" s="11">
        <f t="shared" si="0"/>
        <v>66000</v>
      </c>
    </row>
    <row r="32" spans="1:9" x14ac:dyDescent="0.25">
      <c r="A32" s="9">
        <v>44103</v>
      </c>
      <c r="B32" s="2" t="s">
        <v>17</v>
      </c>
      <c r="C32" s="2" t="s">
        <v>10</v>
      </c>
      <c r="D32" s="2" t="s">
        <v>8</v>
      </c>
      <c r="E32" s="2">
        <v>88</v>
      </c>
      <c r="F32" s="3">
        <v>1200</v>
      </c>
      <c r="G32" s="3">
        <v>800</v>
      </c>
      <c r="H32" s="3">
        <v>105600</v>
      </c>
      <c r="I32" s="11">
        <f t="shared" si="0"/>
        <v>35200</v>
      </c>
    </row>
    <row r="33" spans="1:9" x14ac:dyDescent="0.25">
      <c r="A33" s="9">
        <v>44126</v>
      </c>
      <c r="B33" s="2" t="s">
        <v>9</v>
      </c>
      <c r="C33" s="2" t="s">
        <v>4</v>
      </c>
      <c r="D33" s="2" t="s">
        <v>20</v>
      </c>
      <c r="E33" s="2">
        <v>127</v>
      </c>
      <c r="F33" s="3">
        <v>10000</v>
      </c>
      <c r="G33" s="3">
        <v>7000</v>
      </c>
      <c r="H33" s="3">
        <v>1270000</v>
      </c>
      <c r="I33" s="11">
        <f t="shared" si="0"/>
        <v>381000</v>
      </c>
    </row>
    <row r="34" spans="1:9" x14ac:dyDescent="0.25">
      <c r="A34" s="9">
        <v>43970</v>
      </c>
      <c r="B34" s="2" t="s">
        <v>12</v>
      </c>
      <c r="C34" s="2" t="s">
        <v>1</v>
      </c>
      <c r="D34" s="2" t="s">
        <v>13</v>
      </c>
      <c r="E34" s="2">
        <v>67</v>
      </c>
      <c r="F34" s="3">
        <v>4000</v>
      </c>
      <c r="G34" s="3">
        <v>3000</v>
      </c>
      <c r="H34" s="3">
        <v>268000</v>
      </c>
      <c r="I34" s="11">
        <f t="shared" si="0"/>
        <v>67000</v>
      </c>
    </row>
    <row r="35" spans="1:9" x14ac:dyDescent="0.25">
      <c r="A35" s="9">
        <v>44536</v>
      </c>
      <c r="B35" s="2" t="s">
        <v>3</v>
      </c>
      <c r="C35" s="2" t="s">
        <v>4</v>
      </c>
      <c r="D35" s="2" t="s">
        <v>8</v>
      </c>
      <c r="E35" s="2">
        <v>67</v>
      </c>
      <c r="F35" s="3">
        <v>1200</v>
      </c>
      <c r="G35" s="3">
        <v>800</v>
      </c>
      <c r="H35" s="3">
        <v>80400</v>
      </c>
      <c r="I35" s="11">
        <f t="shared" si="0"/>
        <v>26800</v>
      </c>
    </row>
    <row r="36" spans="1:9" x14ac:dyDescent="0.25">
      <c r="A36" s="9">
        <v>44069</v>
      </c>
      <c r="B36" s="2" t="s">
        <v>19</v>
      </c>
      <c r="C36" s="2" t="s">
        <v>7</v>
      </c>
      <c r="D36" s="2" t="s">
        <v>11</v>
      </c>
      <c r="E36" s="2">
        <v>149</v>
      </c>
      <c r="F36" s="3">
        <v>1000</v>
      </c>
      <c r="G36" s="3">
        <v>700</v>
      </c>
      <c r="H36" s="3">
        <v>149000</v>
      </c>
      <c r="I36" s="11">
        <f t="shared" si="0"/>
        <v>44700</v>
      </c>
    </row>
    <row r="37" spans="1:9" x14ac:dyDescent="0.25">
      <c r="A37" s="9">
        <v>44378</v>
      </c>
      <c r="B37" s="2" t="s">
        <v>12</v>
      </c>
      <c r="C37" s="2" t="s">
        <v>10</v>
      </c>
      <c r="D37" s="2" t="s">
        <v>18</v>
      </c>
      <c r="E37" s="2">
        <v>104</v>
      </c>
      <c r="F37" s="3">
        <v>600</v>
      </c>
      <c r="G37" s="3">
        <v>400</v>
      </c>
      <c r="H37" s="3">
        <v>62400</v>
      </c>
      <c r="I37" s="11">
        <f t="shared" si="0"/>
        <v>20800</v>
      </c>
    </row>
    <row r="38" spans="1:9" x14ac:dyDescent="0.25">
      <c r="A38" s="9">
        <v>44404</v>
      </c>
      <c r="B38" s="2" t="s">
        <v>16</v>
      </c>
      <c r="C38" s="2" t="s">
        <v>1</v>
      </c>
      <c r="D38" s="2" t="s">
        <v>18</v>
      </c>
      <c r="E38" s="2">
        <v>57</v>
      </c>
      <c r="F38" s="3">
        <v>600</v>
      </c>
      <c r="G38" s="3">
        <v>400</v>
      </c>
      <c r="H38" s="3">
        <v>34200</v>
      </c>
      <c r="I38" s="11">
        <f t="shared" si="0"/>
        <v>11400</v>
      </c>
    </row>
    <row r="39" spans="1:9" x14ac:dyDescent="0.25">
      <c r="A39" s="9">
        <v>44109</v>
      </c>
      <c r="B39" s="2" t="s">
        <v>6</v>
      </c>
      <c r="C39" s="2" t="s">
        <v>4</v>
      </c>
      <c r="D39" s="2" t="s">
        <v>18</v>
      </c>
      <c r="E39" s="2">
        <v>90</v>
      </c>
      <c r="F39" s="3">
        <v>600</v>
      </c>
      <c r="G39" s="3">
        <v>400</v>
      </c>
      <c r="H39" s="3">
        <v>54000</v>
      </c>
      <c r="I39" s="11">
        <f t="shared" si="0"/>
        <v>18000</v>
      </c>
    </row>
    <row r="40" spans="1:9" x14ac:dyDescent="0.25">
      <c r="A40" s="9">
        <v>44076</v>
      </c>
      <c r="B40" s="2" t="s">
        <v>14</v>
      </c>
      <c r="C40" s="2" t="s">
        <v>7</v>
      </c>
      <c r="D40" s="2" t="s">
        <v>18</v>
      </c>
      <c r="E40" s="2">
        <v>67</v>
      </c>
      <c r="F40" s="3">
        <v>600</v>
      </c>
      <c r="G40" s="3">
        <v>400</v>
      </c>
      <c r="H40" s="3">
        <v>40200</v>
      </c>
      <c r="I40" s="11">
        <f t="shared" si="0"/>
        <v>13400</v>
      </c>
    </row>
    <row r="41" spans="1:9" x14ac:dyDescent="0.25">
      <c r="A41" s="9">
        <v>44441</v>
      </c>
      <c r="B41" s="2" t="s">
        <v>0</v>
      </c>
      <c r="C41" s="2" t="s">
        <v>10</v>
      </c>
      <c r="D41" s="2" t="s">
        <v>13</v>
      </c>
      <c r="E41" s="2">
        <v>127</v>
      </c>
      <c r="F41" s="3">
        <v>4000</v>
      </c>
      <c r="G41" s="3">
        <v>3000</v>
      </c>
      <c r="H41" s="3">
        <v>508000</v>
      </c>
      <c r="I41" s="11">
        <f t="shared" si="0"/>
        <v>127000</v>
      </c>
    </row>
    <row r="42" spans="1:9" x14ac:dyDescent="0.25">
      <c r="A42" s="9">
        <v>44299</v>
      </c>
      <c r="B42" s="2" t="s">
        <v>14</v>
      </c>
      <c r="C42" s="2" t="s">
        <v>1</v>
      </c>
      <c r="D42" s="2" t="s">
        <v>11</v>
      </c>
      <c r="E42" s="2">
        <v>108</v>
      </c>
      <c r="F42" s="3">
        <v>1000</v>
      </c>
      <c r="G42" s="3">
        <v>700</v>
      </c>
      <c r="H42" s="3">
        <v>108000</v>
      </c>
      <c r="I42" s="11">
        <f t="shared" si="0"/>
        <v>32400</v>
      </c>
    </row>
    <row r="43" spans="1:9" x14ac:dyDescent="0.25">
      <c r="A43" s="9">
        <v>44322</v>
      </c>
      <c r="B43" s="2" t="s">
        <v>6</v>
      </c>
      <c r="C43" s="2" t="s">
        <v>4</v>
      </c>
      <c r="D43" s="2" t="s">
        <v>5</v>
      </c>
      <c r="E43" s="2">
        <v>66</v>
      </c>
      <c r="F43" s="3">
        <v>3500</v>
      </c>
      <c r="G43" s="3">
        <v>2500</v>
      </c>
      <c r="H43" s="3">
        <v>231000</v>
      </c>
      <c r="I43" s="11">
        <f t="shared" si="0"/>
        <v>66000</v>
      </c>
    </row>
    <row r="44" spans="1:9" x14ac:dyDescent="0.25">
      <c r="A44" s="9">
        <v>44211</v>
      </c>
      <c r="B44" s="2" t="s">
        <v>0</v>
      </c>
      <c r="C44" s="2" t="s">
        <v>10</v>
      </c>
      <c r="D44" s="2" t="s">
        <v>2</v>
      </c>
      <c r="E44" s="2">
        <v>78</v>
      </c>
      <c r="F44" s="3">
        <v>6000</v>
      </c>
      <c r="G44" s="3">
        <v>4000</v>
      </c>
      <c r="H44" s="3">
        <v>468000</v>
      </c>
      <c r="I44" s="11">
        <f t="shared" si="0"/>
        <v>156000</v>
      </c>
    </row>
    <row r="45" spans="1:9" x14ac:dyDescent="0.25">
      <c r="A45" s="9">
        <v>44070</v>
      </c>
      <c r="B45" s="2" t="s">
        <v>16</v>
      </c>
      <c r="C45" s="2" t="s">
        <v>7</v>
      </c>
      <c r="D45" s="2" t="s">
        <v>11</v>
      </c>
      <c r="E45" s="2">
        <v>69</v>
      </c>
      <c r="F45" s="3">
        <v>1000</v>
      </c>
      <c r="G45" s="3">
        <v>700</v>
      </c>
      <c r="H45" s="3">
        <v>69000</v>
      </c>
      <c r="I45" s="11">
        <f t="shared" si="0"/>
        <v>20700</v>
      </c>
    </row>
    <row r="46" spans="1:9" x14ac:dyDescent="0.25">
      <c r="A46" s="9">
        <v>44232</v>
      </c>
      <c r="B46" s="2" t="s">
        <v>12</v>
      </c>
      <c r="C46" s="2" t="s">
        <v>1</v>
      </c>
      <c r="D46" s="2" t="s">
        <v>8</v>
      </c>
      <c r="E46" s="2">
        <v>59</v>
      </c>
      <c r="F46" s="3">
        <v>1200</v>
      </c>
      <c r="G46" s="3">
        <v>800</v>
      </c>
      <c r="H46" s="3">
        <v>70800</v>
      </c>
      <c r="I46" s="11">
        <f t="shared" si="0"/>
        <v>23600</v>
      </c>
    </row>
    <row r="47" spans="1:9" x14ac:dyDescent="0.25">
      <c r="A47" s="9">
        <v>44517</v>
      </c>
      <c r="B47" s="2" t="s">
        <v>19</v>
      </c>
      <c r="C47" s="2" t="s">
        <v>7</v>
      </c>
      <c r="D47" s="2" t="s">
        <v>18</v>
      </c>
      <c r="E47" s="2">
        <v>109</v>
      </c>
      <c r="F47" s="3">
        <v>600</v>
      </c>
      <c r="G47" s="3">
        <v>400</v>
      </c>
      <c r="H47" s="3">
        <v>65400</v>
      </c>
      <c r="I47" s="11">
        <f t="shared" si="0"/>
        <v>21800</v>
      </c>
    </row>
    <row r="48" spans="1:9" x14ac:dyDescent="0.25">
      <c r="A48" s="9">
        <v>44193</v>
      </c>
      <c r="B48" s="2" t="s">
        <v>17</v>
      </c>
      <c r="C48" s="2" t="s">
        <v>4</v>
      </c>
      <c r="D48" s="2" t="s">
        <v>13</v>
      </c>
      <c r="E48" s="2">
        <v>61</v>
      </c>
      <c r="F48" s="3">
        <v>4000</v>
      </c>
      <c r="G48" s="3">
        <v>3000</v>
      </c>
      <c r="H48" s="3">
        <v>244000</v>
      </c>
      <c r="I48" s="11">
        <f t="shared" si="0"/>
        <v>61000</v>
      </c>
    </row>
    <row r="49" spans="1:9" x14ac:dyDescent="0.25">
      <c r="A49" s="9">
        <v>44496</v>
      </c>
      <c r="B49" s="2" t="s">
        <v>12</v>
      </c>
      <c r="C49" s="2" t="s">
        <v>10</v>
      </c>
      <c r="D49" s="2" t="s">
        <v>18</v>
      </c>
      <c r="E49" s="2">
        <v>130</v>
      </c>
      <c r="F49" s="3">
        <v>600</v>
      </c>
      <c r="G49" s="3">
        <v>400</v>
      </c>
      <c r="H49" s="3">
        <v>78000</v>
      </c>
      <c r="I49" s="11">
        <f t="shared" si="0"/>
        <v>26000</v>
      </c>
    </row>
    <row r="50" spans="1:9" x14ac:dyDescent="0.25">
      <c r="A50" s="9">
        <v>44502</v>
      </c>
      <c r="B50" s="2" t="s">
        <v>9</v>
      </c>
      <c r="C50" s="2" t="s">
        <v>7</v>
      </c>
      <c r="D50" s="2" t="s">
        <v>5</v>
      </c>
      <c r="E50" s="2">
        <v>60</v>
      </c>
      <c r="F50" s="3">
        <v>3500</v>
      </c>
      <c r="G50" s="3">
        <v>2500</v>
      </c>
      <c r="H50" s="3">
        <v>210000</v>
      </c>
      <c r="I50" s="11">
        <f t="shared" si="0"/>
        <v>60000</v>
      </c>
    </row>
    <row r="51" spans="1:9" x14ac:dyDescent="0.25">
      <c r="A51" s="12">
        <v>43958</v>
      </c>
      <c r="B51" s="13" t="s">
        <v>3</v>
      </c>
      <c r="C51" s="13" t="s">
        <v>4</v>
      </c>
      <c r="D51" s="13" t="s">
        <v>2</v>
      </c>
      <c r="E51" s="13">
        <v>73</v>
      </c>
      <c r="F51" s="14">
        <v>6000</v>
      </c>
      <c r="G51" s="14">
        <v>4000</v>
      </c>
      <c r="H51" s="14">
        <v>438000</v>
      </c>
      <c r="I51" s="15">
        <f>H51-(G51*E51)</f>
        <v>146000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csc Institute</dc:creator>
  <cp:lastModifiedBy>csc Institute</cp:lastModifiedBy>
  <dcterms:created xsi:type="dcterms:W3CDTF">2026-05-07T09:36:50Z</dcterms:created>
  <dcterms:modified xsi:type="dcterms:W3CDTF">2026-05-23T10:24:55Z</dcterms:modified>
</cp:coreProperties>
</file>